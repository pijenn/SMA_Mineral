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istic\Downloads\"/>
    </mc:Choice>
  </mc:AlternateContent>
  <xr:revisionPtr revIDLastSave="0" documentId="13_ncr:1_{9C2663D1-8638-4FF3-820A-EAABF691E4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LOGISTIK  (2)" sheetId="1" r:id="rId1"/>
    <sheet name="KODE DEPARTEMEN" sheetId="2" r:id="rId2"/>
  </sheets>
  <definedNames>
    <definedName name="_xlnm._FilterDatabase" localSheetId="0" hidden="1">'DATA LOGISTIK  (2)'!$B$1:$J$596</definedName>
  </definedNames>
  <calcPr calcId="181029" forceFullCalc="1"/>
</workbook>
</file>

<file path=xl/calcChain.xml><?xml version="1.0" encoding="utf-8"?>
<calcChain xmlns="http://schemas.openxmlformats.org/spreadsheetml/2006/main">
  <c r="H584" i="1" l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" i="1"/>
  <c r="H7" i="1"/>
  <c r="H8" i="1"/>
  <c r="H9" i="1"/>
  <c r="H10" i="1"/>
  <c r="H17" i="1"/>
  <c r="H391" i="1"/>
  <c r="H392" i="1"/>
  <c r="H393" i="1"/>
  <c r="H394" i="1"/>
  <c r="H269" i="1" l="1"/>
  <c r="H270" i="1"/>
  <c r="H271" i="1"/>
  <c r="H272" i="1"/>
  <c r="H305" i="1"/>
  <c r="H306" i="1"/>
  <c r="H307" i="1"/>
  <c r="H308" i="1"/>
  <c r="H309" i="1"/>
  <c r="H310" i="1"/>
  <c r="H311" i="1"/>
  <c r="H312" i="1"/>
  <c r="H313" i="1"/>
  <c r="H314" i="1"/>
  <c r="H315" i="1"/>
  <c r="H304" i="1" l="1"/>
  <c r="H3" i="1" l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21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47" i="1"/>
  <c r="H16" i="1"/>
  <c r="H15" i="1"/>
  <c r="H14" i="1"/>
  <c r="H13" i="1"/>
  <c r="H12" i="1"/>
  <c r="H11" i="1"/>
  <c r="H5" i="1"/>
  <c r="H4" i="1"/>
</calcChain>
</file>

<file path=xl/sharedStrings.xml><?xml version="1.0" encoding="utf-8"?>
<sst xmlns="http://schemas.openxmlformats.org/spreadsheetml/2006/main" count="2548" uniqueCount="1202">
  <si>
    <t>NO.</t>
  </si>
  <si>
    <t>NAMA BARANG</t>
  </si>
  <si>
    <t>HARGA SATUAN</t>
  </si>
  <si>
    <t>DEPARTEMEN</t>
  </si>
  <si>
    <t>SATUAN</t>
  </si>
  <si>
    <t>KODE BARANG</t>
  </si>
  <si>
    <t>MINIMUM STOCK</t>
  </si>
  <si>
    <t>STATUS BELANJA</t>
  </si>
  <si>
    <t>1</t>
  </si>
  <si>
    <t>BENSIN</t>
  </si>
  <si>
    <t>EKSPLORASI</t>
  </si>
  <si>
    <t>LITER</t>
  </si>
  <si>
    <t>2</t>
  </si>
  <si>
    <t>TABUNG ACTYLENE</t>
  </si>
  <si>
    <t>PCS</t>
  </si>
  <si>
    <t>3</t>
  </si>
  <si>
    <t>TABUNG OKSIGEN</t>
  </si>
  <si>
    <t>4</t>
  </si>
  <si>
    <t>TABUNG GAS LPG</t>
  </si>
  <si>
    <t>5</t>
  </si>
  <si>
    <t>HOSE</t>
  </si>
  <si>
    <t>6</t>
  </si>
  <si>
    <t>TALI RAFIAH</t>
  </si>
  <si>
    <t>7</t>
  </si>
  <si>
    <t>TALI STATER</t>
  </si>
  <si>
    <t>METER</t>
  </si>
  <si>
    <t>8</t>
  </si>
  <si>
    <t>MATA BOR 5'</t>
  </si>
  <si>
    <t>9</t>
  </si>
  <si>
    <t>MATA BOR 4'</t>
  </si>
  <si>
    <t>10</t>
  </si>
  <si>
    <t>TALI NILON</t>
  </si>
  <si>
    <t>11</t>
  </si>
  <si>
    <t>SARUNG TANGAN</t>
  </si>
  <si>
    <t>LUSIN</t>
  </si>
  <si>
    <t>12</t>
  </si>
  <si>
    <t>TERPAL 2X3</t>
  </si>
  <si>
    <t>13</t>
  </si>
  <si>
    <t>PISAU DEMPUL</t>
  </si>
  <si>
    <t>14</t>
  </si>
  <si>
    <t>ADAPTOR LOCKING COUPLING HQ</t>
  </si>
  <si>
    <t>15</t>
  </si>
  <si>
    <t>RANTAI WINCH RS60 DOUBLE</t>
  </si>
  <si>
    <t>BOX</t>
  </si>
  <si>
    <t>16</t>
  </si>
  <si>
    <t xml:space="preserve">BESI HOLLOW </t>
  </si>
  <si>
    <t>BATANG</t>
  </si>
  <si>
    <t>17</t>
  </si>
  <si>
    <t xml:space="preserve">BESI UNP </t>
  </si>
  <si>
    <t>18</t>
  </si>
  <si>
    <t>STICKY NOTE</t>
  </si>
  <si>
    <t>19</t>
  </si>
  <si>
    <t>PITA SURVEY</t>
  </si>
  <si>
    <t>20</t>
  </si>
  <si>
    <t>RANTAI CHAINSAW BAR 22'</t>
  </si>
  <si>
    <t>21</t>
  </si>
  <si>
    <t>UNIT</t>
  </si>
  <si>
    <t>22</t>
  </si>
  <si>
    <t xml:space="preserve">KIKIS CHAINSAW </t>
  </si>
  <si>
    <t>23</t>
  </si>
  <si>
    <t>TERPAL 3X4</t>
  </si>
  <si>
    <t>24</t>
  </si>
  <si>
    <t xml:space="preserve">KUNCI RING </t>
  </si>
  <si>
    <t>SET</t>
  </si>
  <si>
    <t>25</t>
  </si>
  <si>
    <t xml:space="preserve">KUNCIL L </t>
  </si>
  <si>
    <t>26</t>
  </si>
  <si>
    <t>OBENG (+)</t>
  </si>
  <si>
    <t>27</t>
  </si>
  <si>
    <t>OBENG (-)</t>
  </si>
  <si>
    <t>28</t>
  </si>
  <si>
    <t xml:space="preserve">IMPREQNATED </t>
  </si>
  <si>
    <t>29</t>
  </si>
  <si>
    <t>PAKU 10'</t>
  </si>
  <si>
    <t>KG</t>
  </si>
  <si>
    <t>30</t>
  </si>
  <si>
    <t xml:space="preserve">MAINPUMP </t>
  </si>
  <si>
    <t>31</t>
  </si>
  <si>
    <t>OLI MESRAN 2 T</t>
  </si>
  <si>
    <t>BOTOL</t>
  </si>
  <si>
    <t>32</t>
  </si>
  <si>
    <t>OLI MESRAN SAE 20W</t>
  </si>
  <si>
    <t>33</t>
  </si>
  <si>
    <t>ASSY CAP HQ</t>
  </si>
  <si>
    <t xml:space="preserve"> PCS</t>
  </si>
  <si>
    <t>34</t>
  </si>
  <si>
    <t>GREASE COBRA</t>
  </si>
  <si>
    <t>PAIL</t>
  </si>
  <si>
    <t>35</t>
  </si>
  <si>
    <t>WD 40</t>
  </si>
  <si>
    <t>36</t>
  </si>
  <si>
    <t>MATA GURINDA GOSOK 4</t>
  </si>
  <si>
    <t>37</t>
  </si>
  <si>
    <t>CORE CASE</t>
  </si>
  <si>
    <t>38</t>
  </si>
  <si>
    <t>CORE LIFTER</t>
  </si>
  <si>
    <t>39</t>
  </si>
  <si>
    <t>SELENOID KUBOTA</t>
  </si>
  <si>
    <t>40</t>
  </si>
  <si>
    <t>WIDYA 5x5x8</t>
  </si>
  <si>
    <t>41</t>
  </si>
  <si>
    <t>KAWAT LAS KUNINGAN</t>
  </si>
  <si>
    <t>42</t>
  </si>
  <si>
    <t>LOCKING COUPLING</t>
  </si>
  <si>
    <t>43</t>
  </si>
  <si>
    <t>REAMER HQ</t>
  </si>
  <si>
    <t>44</t>
  </si>
  <si>
    <t>TUBE NQ</t>
  </si>
  <si>
    <t>45</t>
  </si>
  <si>
    <t>SAVER SUB</t>
  </si>
  <si>
    <t>46</t>
  </si>
  <si>
    <t>BUSI CHAISAW KECIL</t>
  </si>
  <si>
    <t>47</t>
  </si>
  <si>
    <t>CDI CHAINSAW 22'</t>
  </si>
  <si>
    <t>48</t>
  </si>
  <si>
    <t xml:space="preserve">KRAN SOLAR </t>
  </si>
  <si>
    <t>49</t>
  </si>
  <si>
    <t>PISTON CHAINSAW 22'</t>
  </si>
  <si>
    <t>50</t>
  </si>
  <si>
    <t>KACA TAMENG LAS</t>
  </si>
  <si>
    <t>51</t>
  </si>
  <si>
    <t>TERPAL 4x6</t>
  </si>
  <si>
    <t>52</t>
  </si>
  <si>
    <t xml:space="preserve">SELANG SOLAR </t>
  </si>
  <si>
    <t>53</t>
  </si>
  <si>
    <t>OLI 10</t>
  </si>
  <si>
    <t>54</t>
  </si>
  <si>
    <t>WIDYA 6,5x6,5x6,5</t>
  </si>
  <si>
    <t>55</t>
  </si>
  <si>
    <t>SIKAT KAWAT</t>
  </si>
  <si>
    <t>56</t>
  </si>
  <si>
    <t>FC DDR</t>
  </si>
  <si>
    <t>LEMBAR</t>
  </si>
  <si>
    <t>57</t>
  </si>
  <si>
    <t>FC LOGGING</t>
  </si>
  <si>
    <t>58</t>
  </si>
  <si>
    <t>KAWAT LAS RB 26</t>
  </si>
  <si>
    <t>59</t>
  </si>
  <si>
    <t>OLI MEDITRAN SAE 40</t>
  </si>
  <si>
    <t>DUS</t>
  </si>
  <si>
    <t>60</t>
  </si>
  <si>
    <t>BAUT 19</t>
  </si>
  <si>
    <t>61</t>
  </si>
  <si>
    <t>BAUT 19 DRAT DALAM</t>
  </si>
  <si>
    <t>62</t>
  </si>
  <si>
    <t>HQ OUTER BARREL</t>
  </si>
  <si>
    <t>63</t>
  </si>
  <si>
    <t>KIKIR CHAINSAW</t>
  </si>
  <si>
    <t>64</t>
  </si>
  <si>
    <t>65</t>
  </si>
  <si>
    <t>SPIDOL PERMANEN</t>
  </si>
  <si>
    <t>66</t>
  </si>
  <si>
    <t>SEAL MOTOR  EATON</t>
  </si>
  <si>
    <t>67</t>
  </si>
  <si>
    <t>TRAFO LAKONI 1200 W</t>
  </si>
  <si>
    <t>68</t>
  </si>
  <si>
    <t>POLYMER</t>
  </si>
  <si>
    <t>69</t>
  </si>
  <si>
    <t xml:space="preserve">BALING BALING </t>
  </si>
  <si>
    <t>70</t>
  </si>
  <si>
    <t>BATU ASAH</t>
  </si>
  <si>
    <t>71</t>
  </si>
  <si>
    <t>SEAL VALVE KUBOTA</t>
  </si>
  <si>
    <t>72</t>
  </si>
  <si>
    <t>BAUT 10</t>
  </si>
  <si>
    <t>73</t>
  </si>
  <si>
    <t>BAUT 12</t>
  </si>
  <si>
    <t>74</t>
  </si>
  <si>
    <t>BAUT 14</t>
  </si>
  <si>
    <t>75</t>
  </si>
  <si>
    <t>BUBBLE WRAP</t>
  </si>
  <si>
    <t>ROLL</t>
  </si>
  <si>
    <t>76</t>
  </si>
  <si>
    <t>ALUMINIUM FOIL</t>
  </si>
  <si>
    <t>77</t>
  </si>
  <si>
    <t>PLASTIK WRAP</t>
  </si>
  <si>
    <t>78</t>
  </si>
  <si>
    <t>LAKBAN BENING</t>
  </si>
  <si>
    <t>79</t>
  </si>
  <si>
    <t>MAJUN</t>
  </si>
  <si>
    <t>BALL</t>
  </si>
  <si>
    <t>80</t>
  </si>
  <si>
    <t>WAYBILL</t>
  </si>
  <si>
    <t>BLOK</t>
  </si>
  <si>
    <t>81</t>
  </si>
  <si>
    <t>RADIATOR COOLANT</t>
  </si>
  <si>
    <t>82</t>
  </si>
  <si>
    <t>FILTER JAGUAR SP10X10</t>
  </si>
  <si>
    <t>83</t>
  </si>
  <si>
    <t>FILTER DONALDSON P550127</t>
  </si>
  <si>
    <t>84</t>
  </si>
  <si>
    <t>FILTER DONALDSON P550162</t>
  </si>
  <si>
    <t>85</t>
  </si>
  <si>
    <t>BEARING NTN /ASB 6008</t>
  </si>
  <si>
    <t>86</t>
  </si>
  <si>
    <t>MOUSE REXUS SH10</t>
  </si>
  <si>
    <t>87</t>
  </si>
  <si>
    <t>PARANG MALAYSIA</t>
  </si>
  <si>
    <t>88</t>
  </si>
  <si>
    <t>KARET BIDY CHAINSAW 22</t>
  </si>
  <si>
    <t>89</t>
  </si>
  <si>
    <t>BESI SIKU</t>
  </si>
  <si>
    <t>90</t>
  </si>
  <si>
    <t>BESI PLAT</t>
  </si>
  <si>
    <t>91</t>
  </si>
  <si>
    <t>PIPA PVC</t>
  </si>
  <si>
    <t>92</t>
  </si>
  <si>
    <t>TINTA PRINTER BIRU</t>
  </si>
  <si>
    <t>93</t>
  </si>
  <si>
    <t>TINTA PRINTER MERAH</t>
  </si>
  <si>
    <t>94</t>
  </si>
  <si>
    <t>TINTA PRINTER KUNING</t>
  </si>
  <si>
    <t>95</t>
  </si>
  <si>
    <t>VANBELT B62</t>
  </si>
  <si>
    <t>96</t>
  </si>
  <si>
    <t>VANBELT B60</t>
  </si>
  <si>
    <t>97</t>
  </si>
  <si>
    <t xml:space="preserve">DOP PVC </t>
  </si>
  <si>
    <t>98</t>
  </si>
  <si>
    <t>STANG PISTON 120</t>
  </si>
  <si>
    <t>99</t>
  </si>
  <si>
    <t>STANG PISTON 45</t>
  </si>
  <si>
    <t>100</t>
  </si>
  <si>
    <t>TALI WEBBING 5 TON</t>
  </si>
  <si>
    <t>101</t>
  </si>
  <si>
    <t xml:space="preserve">TALI WEBBING 5 CM </t>
  </si>
  <si>
    <t>102</t>
  </si>
  <si>
    <t xml:space="preserve">SEAL TC </t>
  </si>
  <si>
    <t>103</t>
  </si>
  <si>
    <t>SP22 CYLINDER PLUNGER</t>
  </si>
  <si>
    <t>104</t>
  </si>
  <si>
    <t>AMPLAS KERTAS</t>
  </si>
  <si>
    <t>QAQC</t>
  </si>
  <si>
    <t>105</t>
  </si>
  <si>
    <t>PLASTIK CETIK</t>
  </si>
  <si>
    <t>PAK</t>
  </si>
  <si>
    <t>106</t>
  </si>
  <si>
    <t>KEPALA AKI BESAR</t>
  </si>
  <si>
    <t>107</t>
  </si>
  <si>
    <t>108</t>
  </si>
  <si>
    <t xml:space="preserve">ELBOW </t>
  </si>
  <si>
    <t>109</t>
  </si>
  <si>
    <t>SAMBUNGAN PIPA BESI</t>
  </si>
  <si>
    <t>110</t>
  </si>
  <si>
    <t xml:space="preserve">KUAS BESAR </t>
  </si>
  <si>
    <t>111</t>
  </si>
  <si>
    <t>KUAS SEDANG</t>
  </si>
  <si>
    <t>112</t>
  </si>
  <si>
    <t>KUAS KECIL</t>
  </si>
  <si>
    <t>113</t>
  </si>
  <si>
    <t>RAK ORGANIZER KERTAS</t>
  </si>
  <si>
    <t>114</t>
  </si>
  <si>
    <t>MASKER MEDIS</t>
  </si>
  <si>
    <t>115</t>
  </si>
  <si>
    <t>AMPLOP PUTIH</t>
  </si>
  <si>
    <t>116</t>
  </si>
  <si>
    <t>THINNER</t>
  </si>
  <si>
    <t>KALENG</t>
  </si>
  <si>
    <t>117</t>
  </si>
  <si>
    <t>118</t>
  </si>
  <si>
    <t>BOUNTRIP</t>
  </si>
  <si>
    <t>119</t>
  </si>
  <si>
    <t>PAPAN PENGALAS</t>
  </si>
  <si>
    <t>120</t>
  </si>
  <si>
    <t>SENTER</t>
  </si>
  <si>
    <t>121</t>
  </si>
  <si>
    <t xml:space="preserve">SEKOP </t>
  </si>
  <si>
    <t>122</t>
  </si>
  <si>
    <t>PAYUNG</t>
  </si>
  <si>
    <t>123</t>
  </si>
  <si>
    <t xml:space="preserve">GUNTING </t>
  </si>
  <si>
    <t>124</t>
  </si>
  <si>
    <t>SPIDOL NONPERMANEN</t>
  </si>
  <si>
    <t xml:space="preserve"> LUSIN</t>
  </si>
  <si>
    <t>125</t>
  </si>
  <si>
    <t>TISSU BASAH</t>
  </si>
  <si>
    <t>126</t>
  </si>
  <si>
    <t>TONGKAT LAMPU</t>
  </si>
  <si>
    <t>127</t>
  </si>
  <si>
    <t>BAUT</t>
  </si>
  <si>
    <t>128</t>
  </si>
  <si>
    <t>MATA GURINDA</t>
  </si>
  <si>
    <t xml:space="preserve"> DUS</t>
  </si>
  <si>
    <t>129</t>
  </si>
  <si>
    <t>130</t>
  </si>
  <si>
    <t>PAKU 7'</t>
  </si>
  <si>
    <t>131</t>
  </si>
  <si>
    <t>PAKU 5'</t>
  </si>
  <si>
    <t>132</t>
  </si>
  <si>
    <t>PAKU SENG</t>
  </si>
  <si>
    <t>133</t>
  </si>
  <si>
    <t>SENG PLAT</t>
  </si>
  <si>
    <t>134</t>
  </si>
  <si>
    <t>KANEBO</t>
  </si>
  <si>
    <t>135</t>
  </si>
  <si>
    <t>WIREMASH</t>
  </si>
  <si>
    <t>136</t>
  </si>
  <si>
    <t>MASKER BUFF</t>
  </si>
  <si>
    <t>137</t>
  </si>
  <si>
    <t>CUP SUMPLE</t>
  </si>
  <si>
    <t>138</t>
  </si>
  <si>
    <t>ALKOHOL</t>
  </si>
  <si>
    <t>139</t>
  </si>
  <si>
    <t>TERPAL 5X7</t>
  </si>
  <si>
    <t>140</t>
  </si>
  <si>
    <t>141</t>
  </si>
  <si>
    <t xml:space="preserve">TALI NILON </t>
  </si>
  <si>
    <t>142</t>
  </si>
  <si>
    <t>TIMBANGAN</t>
  </si>
  <si>
    <t>143</t>
  </si>
  <si>
    <t>BATU TIMBANGAN</t>
  </si>
  <si>
    <t>144</t>
  </si>
  <si>
    <t>KEYBOARD</t>
  </si>
  <si>
    <t>145</t>
  </si>
  <si>
    <t>CAT WARNA BIRU</t>
  </si>
  <si>
    <t>146</t>
  </si>
  <si>
    <t>KAOS TANGAN LUPO</t>
  </si>
  <si>
    <t>147</t>
  </si>
  <si>
    <t>AMPLOP PORTIS</t>
  </si>
  <si>
    <t>148</t>
  </si>
  <si>
    <t>ATAP SENG</t>
  </si>
  <si>
    <t>149</t>
  </si>
  <si>
    <t>150</t>
  </si>
  <si>
    <t>TISSUE PASEO</t>
  </si>
  <si>
    <t>151</t>
  </si>
  <si>
    <t xml:space="preserve">HEKTER </t>
  </si>
  <si>
    <t>152</t>
  </si>
  <si>
    <t>TEMPAT SAMPAH</t>
  </si>
  <si>
    <t>153</t>
  </si>
  <si>
    <t>PENGGOSOK PANCI</t>
  </si>
  <si>
    <t>154</t>
  </si>
  <si>
    <t xml:space="preserve">PULPEN </t>
  </si>
  <si>
    <t>155</t>
  </si>
  <si>
    <t>KARPET KARET</t>
  </si>
  <si>
    <t>156</t>
  </si>
  <si>
    <t>TRIPLEKS</t>
  </si>
  <si>
    <t>157</t>
  </si>
  <si>
    <t xml:space="preserve">PAKU KALSIBOR </t>
  </si>
  <si>
    <t>158</t>
  </si>
  <si>
    <t>GRENDEL</t>
  </si>
  <si>
    <t>159</t>
  </si>
  <si>
    <t>ENGSEL</t>
  </si>
  <si>
    <t>160</t>
  </si>
  <si>
    <t>FILTER MASKER RESPIRATOR</t>
  </si>
  <si>
    <t>161</t>
  </si>
  <si>
    <t>KAOS TANGAN LATEX</t>
  </si>
  <si>
    <t>162</t>
  </si>
  <si>
    <t>163</t>
  </si>
  <si>
    <t>TISSU ROLL</t>
  </si>
  <si>
    <t>164</t>
  </si>
  <si>
    <t>165</t>
  </si>
  <si>
    <t>LAKBAN COKELAT</t>
  </si>
  <si>
    <t>166</t>
  </si>
  <si>
    <t>SARUNG TANGAN BIASA</t>
  </si>
  <si>
    <t>167</t>
  </si>
  <si>
    <t>FC FROM P2H</t>
  </si>
  <si>
    <t>168</t>
  </si>
  <si>
    <t>BAN GEROBAK</t>
  </si>
  <si>
    <t>169</t>
  </si>
  <si>
    <t>170</t>
  </si>
  <si>
    <t>KARET BOWL</t>
  </si>
  <si>
    <t>171</t>
  </si>
  <si>
    <t>MIC RADIO</t>
  </si>
  <si>
    <t>172</t>
  </si>
  <si>
    <t>DC POWER SUPPLY</t>
  </si>
  <si>
    <t>173</t>
  </si>
  <si>
    <t>TEMPAT PULPEN</t>
  </si>
  <si>
    <t>174</t>
  </si>
  <si>
    <t>175</t>
  </si>
  <si>
    <t>SARUNG TANGAN KARET</t>
  </si>
  <si>
    <t>176</t>
  </si>
  <si>
    <t>177</t>
  </si>
  <si>
    <t>KARUNG SAMPLE</t>
  </si>
  <si>
    <t>178</t>
  </si>
  <si>
    <t>PLATFORM INSERT PULVERIZER B1000</t>
  </si>
  <si>
    <t>179</t>
  </si>
  <si>
    <t>PAKU BETON</t>
  </si>
  <si>
    <t>BIJI</t>
  </si>
  <si>
    <t>180</t>
  </si>
  <si>
    <t>CAT WARNA PUTIH</t>
  </si>
  <si>
    <t>181</t>
  </si>
  <si>
    <t>SEMEN</t>
  </si>
  <si>
    <t>ZAK</t>
  </si>
  <si>
    <t>182</t>
  </si>
  <si>
    <t>PLASTIK ROLL (MIXING)</t>
  </si>
  <si>
    <t>183</t>
  </si>
  <si>
    <t>BONDRET</t>
  </si>
  <si>
    <t>184</t>
  </si>
  <si>
    <t>SELANG BENING</t>
  </si>
  <si>
    <t>185</t>
  </si>
  <si>
    <t>186</t>
  </si>
  <si>
    <t xml:space="preserve">PLASTIK SAMPEL </t>
  </si>
  <si>
    <t>187</t>
  </si>
  <si>
    <t>AMPLOP CIKELAT</t>
  </si>
  <si>
    <t>188</t>
  </si>
  <si>
    <t>BEARING GEROBAK ARCO</t>
  </si>
  <si>
    <t>189</t>
  </si>
  <si>
    <t>EMBER BESAR</t>
  </si>
  <si>
    <t>190</t>
  </si>
  <si>
    <t>TALANG</t>
  </si>
  <si>
    <t>191</t>
  </si>
  <si>
    <t xml:space="preserve">PALU </t>
  </si>
  <si>
    <t>CIVIL</t>
  </si>
  <si>
    <t>192</t>
  </si>
  <si>
    <t>GERGAJI</t>
  </si>
  <si>
    <t>193</t>
  </si>
  <si>
    <t>KIKIR SEGITIGA</t>
  </si>
  <si>
    <t>194</t>
  </si>
  <si>
    <t xml:space="preserve">METERAN </t>
  </si>
  <si>
    <t>195</t>
  </si>
  <si>
    <t>PENGGARIS SIKU</t>
  </si>
  <si>
    <t>196</t>
  </si>
  <si>
    <t>TANG</t>
  </si>
  <si>
    <t>197</t>
  </si>
  <si>
    <t>TERPAL 4X6</t>
  </si>
  <si>
    <t>198</t>
  </si>
  <si>
    <t>199</t>
  </si>
  <si>
    <t>200</t>
  </si>
  <si>
    <t xml:space="preserve"> SAK</t>
  </si>
  <si>
    <t>201</t>
  </si>
  <si>
    <t>202</t>
  </si>
  <si>
    <t>203</t>
  </si>
  <si>
    <t>SAMBUNGAN T</t>
  </si>
  <si>
    <t>204</t>
  </si>
  <si>
    <t>LEM PIPA</t>
  </si>
  <si>
    <t xml:space="preserve"> KALENG</t>
  </si>
  <si>
    <t>205</t>
  </si>
  <si>
    <t>CAT PERNIS</t>
  </si>
  <si>
    <t>206</t>
  </si>
  <si>
    <t>207</t>
  </si>
  <si>
    <t xml:space="preserve"> LEMBAR</t>
  </si>
  <si>
    <t>208</t>
  </si>
  <si>
    <t>209</t>
  </si>
  <si>
    <t>210</t>
  </si>
  <si>
    <t>PENSIL MAKITA</t>
  </si>
  <si>
    <t>211</t>
  </si>
  <si>
    <t>BENANG NILON</t>
  </si>
  <si>
    <t>212</t>
  </si>
  <si>
    <t>ENGSEL PINTU</t>
  </si>
  <si>
    <t>213</t>
  </si>
  <si>
    <t xml:space="preserve">KLOSET JONGKOK </t>
  </si>
  <si>
    <t>214</t>
  </si>
  <si>
    <t>TALI MANILA</t>
  </si>
  <si>
    <t>215</t>
  </si>
  <si>
    <t>GEROBAK ARKO</t>
  </si>
  <si>
    <t>216</t>
  </si>
  <si>
    <t>MASKER</t>
  </si>
  <si>
    <t>217</t>
  </si>
  <si>
    <t>BATAKO</t>
  </si>
  <si>
    <t>218</t>
  </si>
  <si>
    <t>BANTAL KEPALA</t>
  </si>
  <si>
    <t>219</t>
  </si>
  <si>
    <t>KASUR PALEMBANG</t>
  </si>
  <si>
    <t>220</t>
  </si>
  <si>
    <t>DUDUKAN AMPLAS</t>
  </si>
  <si>
    <t>221</t>
  </si>
  <si>
    <t>HANDIPLAST</t>
  </si>
  <si>
    <t>222</t>
  </si>
  <si>
    <t>MATA GURINDA POTONG</t>
  </si>
  <si>
    <t>223</t>
  </si>
  <si>
    <t>PLAU MARTIL</t>
  </si>
  <si>
    <t>224</t>
  </si>
  <si>
    <t>BESI 10</t>
  </si>
  <si>
    <t>225</t>
  </si>
  <si>
    <t xml:space="preserve">SELANG TIMBANG </t>
  </si>
  <si>
    <t>226</t>
  </si>
  <si>
    <t>EMBER CAMPURAN</t>
  </si>
  <si>
    <t>227</t>
  </si>
  <si>
    <t>CANGKUL</t>
  </si>
  <si>
    <t>228</t>
  </si>
  <si>
    <t>229</t>
  </si>
  <si>
    <t>SLOT KUNCI</t>
  </si>
  <si>
    <t>230</t>
  </si>
  <si>
    <t>SETRIKA PLASTERAN</t>
  </si>
  <si>
    <t>231</t>
  </si>
  <si>
    <t>SENDOK PLASTERAN</t>
  </si>
  <si>
    <t>232</t>
  </si>
  <si>
    <t>233</t>
  </si>
  <si>
    <t>ENGSEL PINTU OTOMATIS</t>
  </si>
  <si>
    <t>234</t>
  </si>
  <si>
    <t>KABEL ROLL</t>
  </si>
  <si>
    <t>235</t>
  </si>
  <si>
    <t>MOUSE</t>
  </si>
  <si>
    <t>236</t>
  </si>
  <si>
    <t>DRUM PLASTIK 40 LTR</t>
  </si>
  <si>
    <t>237</t>
  </si>
  <si>
    <t>MATA PEMOTONG KAYU</t>
  </si>
  <si>
    <t>238</t>
  </si>
  <si>
    <t>MATA AMPLAS</t>
  </si>
  <si>
    <t>239</t>
  </si>
  <si>
    <t>CLOSET</t>
  </si>
  <si>
    <t>240</t>
  </si>
  <si>
    <t>ENGINEERING</t>
  </si>
  <si>
    <t>241</t>
  </si>
  <si>
    <t>TISSU KERING</t>
  </si>
  <si>
    <t>242</t>
  </si>
  <si>
    <t>BATERAI ABC</t>
  </si>
  <si>
    <t>243</t>
  </si>
  <si>
    <t xml:space="preserve">TERPAL 3x4 </t>
  </si>
  <si>
    <t>244</t>
  </si>
  <si>
    <t>245</t>
  </si>
  <si>
    <t>246</t>
  </si>
  <si>
    <t>247</t>
  </si>
  <si>
    <t>PAKU PAYUNG</t>
  </si>
  <si>
    <t>248</t>
  </si>
  <si>
    <t>249</t>
  </si>
  <si>
    <t>BANTAL</t>
  </si>
  <si>
    <t>250</t>
  </si>
  <si>
    <t>251</t>
  </si>
  <si>
    <t>KELAMBU</t>
  </si>
  <si>
    <t>252</t>
  </si>
  <si>
    <t>253</t>
  </si>
  <si>
    <t>SAK</t>
  </si>
  <si>
    <t>254</t>
  </si>
  <si>
    <t>255</t>
  </si>
  <si>
    <t>MINYAK KAYU PUTIH</t>
  </si>
  <si>
    <t>256</t>
  </si>
  <si>
    <t>BESI 8mm</t>
  </si>
  <si>
    <t>257</t>
  </si>
  <si>
    <t xml:space="preserve">SARUNG TANGAN </t>
  </si>
  <si>
    <t>258</t>
  </si>
  <si>
    <t>259</t>
  </si>
  <si>
    <t>260</t>
  </si>
  <si>
    <t>FLYSHEET</t>
  </si>
  <si>
    <t>261</t>
  </si>
  <si>
    <t xml:space="preserve">KUAS </t>
  </si>
  <si>
    <t>262</t>
  </si>
  <si>
    <t>KERTAS HVS</t>
  </si>
  <si>
    <t>RIM</t>
  </si>
  <si>
    <t>263</t>
  </si>
  <si>
    <t xml:space="preserve">PER STATER </t>
  </si>
  <si>
    <t>GANIS</t>
  </si>
  <si>
    <t>264</t>
  </si>
  <si>
    <t>265</t>
  </si>
  <si>
    <t>BAUT PURING 10'</t>
  </si>
  <si>
    <t>266</t>
  </si>
  <si>
    <t>BAUT 8'</t>
  </si>
  <si>
    <t>267</t>
  </si>
  <si>
    <t>268</t>
  </si>
  <si>
    <t>OLI MEDITRAN</t>
  </si>
  <si>
    <t>269</t>
  </si>
  <si>
    <t>SIL</t>
  </si>
  <si>
    <t>270</t>
  </si>
  <si>
    <t>LAHER SUPROKET</t>
  </si>
  <si>
    <t>271</t>
  </si>
  <si>
    <t>PENUTUP SUPROKET</t>
  </si>
  <si>
    <t>272</t>
  </si>
  <si>
    <t>ROTOR</t>
  </si>
  <si>
    <t>273</t>
  </si>
  <si>
    <t>274</t>
  </si>
  <si>
    <t>BAUT BAR</t>
  </si>
  <si>
    <t>275</t>
  </si>
  <si>
    <t>KIKIR BULAT</t>
  </si>
  <si>
    <t>276</t>
  </si>
  <si>
    <t>CONDENSOR CHAINSAW</t>
  </si>
  <si>
    <t>277</t>
  </si>
  <si>
    <t>RANTAI CHAINSAW</t>
  </si>
  <si>
    <t>278</t>
  </si>
  <si>
    <t>KARBURATOR</t>
  </si>
  <si>
    <t>279</t>
  </si>
  <si>
    <t>280</t>
  </si>
  <si>
    <t>ROTOR CHAINSAW</t>
  </si>
  <si>
    <t>281</t>
  </si>
  <si>
    <t>SKOR ASSY CHAINSAW</t>
  </si>
  <si>
    <t>282</t>
  </si>
  <si>
    <t>BENANG BECI</t>
  </si>
  <si>
    <t>283</t>
  </si>
  <si>
    <t>KUNCI BUSI</t>
  </si>
  <si>
    <t>284</t>
  </si>
  <si>
    <t>CAT MERAH</t>
  </si>
  <si>
    <t>285</t>
  </si>
  <si>
    <t>CAT PUTIH</t>
  </si>
  <si>
    <t>286</t>
  </si>
  <si>
    <t>CAT HITAM</t>
  </si>
  <si>
    <t>287</t>
  </si>
  <si>
    <t>288</t>
  </si>
  <si>
    <t>KUAS LUKISAN</t>
  </si>
  <si>
    <t>289</t>
  </si>
  <si>
    <t>290</t>
  </si>
  <si>
    <t>HANDEL STANG</t>
  </si>
  <si>
    <t>291</t>
  </si>
  <si>
    <t>MUR CHAINSAW</t>
  </si>
  <si>
    <t>292</t>
  </si>
  <si>
    <t>TERPAL</t>
  </si>
  <si>
    <t>293</t>
  </si>
  <si>
    <t>294</t>
  </si>
  <si>
    <t>BAN UK 265/65/17</t>
  </si>
  <si>
    <t>HCGA</t>
  </si>
  <si>
    <t>295</t>
  </si>
  <si>
    <t>BAN UK 265/70/17</t>
  </si>
  <si>
    <t>296</t>
  </si>
  <si>
    <t>OLI TMO</t>
  </si>
  <si>
    <t>297</t>
  </si>
  <si>
    <t>298</t>
  </si>
  <si>
    <t>SPRINGBAD</t>
  </si>
  <si>
    <t>299</t>
  </si>
  <si>
    <t>FANBELT</t>
  </si>
  <si>
    <t>300</t>
  </si>
  <si>
    <t>TEFLON CETAKAN</t>
  </si>
  <si>
    <t>301</t>
  </si>
  <si>
    <t>CAT MINYAK PUTIH</t>
  </si>
  <si>
    <t>302</t>
  </si>
  <si>
    <t>CAT TEMBOK PUTIH</t>
  </si>
  <si>
    <t>303</t>
  </si>
  <si>
    <t>304</t>
  </si>
  <si>
    <t>MEJA</t>
  </si>
  <si>
    <t>305</t>
  </si>
  <si>
    <t>KURSI</t>
  </si>
  <si>
    <t>306</t>
  </si>
  <si>
    <t>LEMARI PAKAIAN</t>
  </si>
  <si>
    <t>307</t>
  </si>
  <si>
    <t>308</t>
  </si>
  <si>
    <t>SELANG AIR</t>
  </si>
  <si>
    <t>309</t>
  </si>
  <si>
    <t>TUTUP GALON</t>
  </si>
  <si>
    <t>310</t>
  </si>
  <si>
    <t>HAIR NET</t>
  </si>
  <si>
    <t>311</t>
  </si>
  <si>
    <t>CELEMEK</t>
  </si>
  <si>
    <t>312</t>
  </si>
  <si>
    <t>AMPLAS BULAT</t>
  </si>
  <si>
    <t>313</t>
  </si>
  <si>
    <t>SENDAL SAFETY</t>
  </si>
  <si>
    <t>314</t>
  </si>
  <si>
    <t>315</t>
  </si>
  <si>
    <t>SAPU LANTAI TYPE</t>
  </si>
  <si>
    <t>316</t>
  </si>
  <si>
    <t>SIKAT CLOSET</t>
  </si>
  <si>
    <t>317</t>
  </si>
  <si>
    <t>SIKAT LANTAI BERGAGANG</t>
  </si>
  <si>
    <t>318</t>
  </si>
  <si>
    <t>SPOON CUCI PIRING</t>
  </si>
  <si>
    <t>319</t>
  </si>
  <si>
    <t xml:space="preserve">OBAT RUMPUT </t>
  </si>
  <si>
    <t>320</t>
  </si>
  <si>
    <t>AKI FURUKAWA 80D26L</t>
  </si>
  <si>
    <t>321</t>
  </si>
  <si>
    <t>STOP KONTAK 1 LUBANG</t>
  </si>
  <si>
    <t>322</t>
  </si>
  <si>
    <t>COLOKAN LISTRIK</t>
  </si>
  <si>
    <t>323</t>
  </si>
  <si>
    <t>STOP KONTAK CABANG T</t>
  </si>
  <si>
    <t>324</t>
  </si>
  <si>
    <t>TRASHBAG</t>
  </si>
  <si>
    <t>325</t>
  </si>
  <si>
    <t xml:space="preserve">TISSU </t>
  </si>
  <si>
    <t>326</t>
  </si>
  <si>
    <t>AIR AKI TUTUP MERAH</t>
  </si>
  <si>
    <t>327</t>
  </si>
  <si>
    <t>AIR AKI KEPALA BIRU</t>
  </si>
  <si>
    <t>328</t>
  </si>
  <si>
    <t>329</t>
  </si>
  <si>
    <t xml:space="preserve">BANTAL </t>
  </si>
  <si>
    <t>330</t>
  </si>
  <si>
    <t>CAIRAN REM</t>
  </si>
  <si>
    <t>331</t>
  </si>
  <si>
    <t>GYRO GEAR</t>
  </si>
  <si>
    <t>332</t>
  </si>
  <si>
    <t>333</t>
  </si>
  <si>
    <t>LAMPU PHILIPS 35 WATT</t>
  </si>
  <si>
    <t>334</t>
  </si>
  <si>
    <t>LAMPU PHILIPS 30 WATT</t>
  </si>
  <si>
    <t>335</t>
  </si>
  <si>
    <t>PEL LANTAI</t>
  </si>
  <si>
    <t>336</t>
  </si>
  <si>
    <t>PEL SUMBU</t>
  </si>
  <si>
    <t>337</t>
  </si>
  <si>
    <t>SUPER PEL</t>
  </si>
  <si>
    <t>338</t>
  </si>
  <si>
    <t>339</t>
  </si>
  <si>
    <t>KOMPOR 1000</t>
  </si>
  <si>
    <t>340</t>
  </si>
  <si>
    <t xml:space="preserve">SELIMUT </t>
  </si>
  <si>
    <t>341</t>
  </si>
  <si>
    <t>REGULATOR</t>
  </si>
  <si>
    <t>342</t>
  </si>
  <si>
    <t>PISAU LEBAR</t>
  </si>
  <si>
    <t>343</t>
  </si>
  <si>
    <t>344</t>
  </si>
  <si>
    <t xml:space="preserve">BESI </t>
  </si>
  <si>
    <t>345</t>
  </si>
  <si>
    <t>KALPANIX</t>
  </si>
  <si>
    <t>346</t>
  </si>
  <si>
    <t>SENTER KEPALA</t>
  </si>
  <si>
    <t>347</t>
  </si>
  <si>
    <t>JAS HUJAN</t>
  </si>
  <si>
    <t>348</t>
  </si>
  <si>
    <t>349</t>
  </si>
  <si>
    <t>BLENDER</t>
  </si>
  <si>
    <t>350</t>
  </si>
  <si>
    <t>351</t>
  </si>
  <si>
    <t>BAUT 17'</t>
  </si>
  <si>
    <t>352</t>
  </si>
  <si>
    <t xml:space="preserve">ENGSEL </t>
  </si>
  <si>
    <t>353</t>
  </si>
  <si>
    <t>AIR RADIATOR</t>
  </si>
  <si>
    <t>354</t>
  </si>
  <si>
    <t>TINTA PRINTER</t>
  </si>
  <si>
    <t>355</t>
  </si>
  <si>
    <t>356</t>
  </si>
  <si>
    <t>PANCI</t>
  </si>
  <si>
    <t>357</t>
  </si>
  <si>
    <t>SELANG REGULATOR</t>
  </si>
  <si>
    <t>358</t>
  </si>
  <si>
    <t>PALU</t>
  </si>
  <si>
    <t>359</t>
  </si>
  <si>
    <t>360</t>
  </si>
  <si>
    <t>361</t>
  </si>
  <si>
    <t>362</t>
  </si>
  <si>
    <t>GALON</t>
  </si>
  <si>
    <t>363</t>
  </si>
  <si>
    <t>HEAD LAMP</t>
  </si>
  <si>
    <t>364</t>
  </si>
  <si>
    <t>KABEL HDMI</t>
  </si>
  <si>
    <t>365</t>
  </si>
  <si>
    <t>KUAS</t>
  </si>
  <si>
    <t>366</t>
  </si>
  <si>
    <t>KERANJANG SAYUR</t>
  </si>
  <si>
    <t>367</t>
  </si>
  <si>
    <t>SPATULA</t>
  </si>
  <si>
    <t>368</t>
  </si>
  <si>
    <t>369</t>
  </si>
  <si>
    <t>CAT MINYAK HITAM</t>
  </si>
  <si>
    <t>HSE</t>
  </si>
  <si>
    <t>370</t>
  </si>
  <si>
    <t>371</t>
  </si>
  <si>
    <t>SAFETY SHOES</t>
  </si>
  <si>
    <t>372</t>
  </si>
  <si>
    <t xml:space="preserve">DEMACOLIN TABLET </t>
  </si>
  <si>
    <t>373</t>
  </si>
  <si>
    <t xml:space="preserve">AMBROXOL TABLET </t>
  </si>
  <si>
    <t>374</t>
  </si>
  <si>
    <t>DEXAMETHAZONE TABLET</t>
  </si>
  <si>
    <t>375</t>
  </si>
  <si>
    <t xml:space="preserve">BECOMZET </t>
  </si>
  <si>
    <t>376</t>
  </si>
  <si>
    <t>SALONPAS HIJAU</t>
  </si>
  <si>
    <t>377</t>
  </si>
  <si>
    <t>378</t>
  </si>
  <si>
    <t>SAFETY BOOTH</t>
  </si>
  <si>
    <t>PASANG</t>
  </si>
  <si>
    <t>379</t>
  </si>
  <si>
    <t xml:space="preserve">STIKER </t>
  </si>
  <si>
    <t>380</t>
  </si>
  <si>
    <t>POT BUNGA</t>
  </si>
  <si>
    <t>381</t>
  </si>
  <si>
    <t>KRAN AIR 3/4 INCH</t>
  </si>
  <si>
    <t>382</t>
  </si>
  <si>
    <t>KRAN AIR 1/2 INCH</t>
  </si>
  <si>
    <t>383</t>
  </si>
  <si>
    <t>BALIHO</t>
  </si>
  <si>
    <t>384</t>
  </si>
  <si>
    <t>LEM CASTOL</t>
  </si>
  <si>
    <t>385</t>
  </si>
  <si>
    <t>HELM SAFETY KUNING</t>
  </si>
  <si>
    <t>386</t>
  </si>
  <si>
    <t>TASI PANCING</t>
  </si>
  <si>
    <t>GULUNG</t>
  </si>
  <si>
    <t>387</t>
  </si>
  <si>
    <t>POLYBAG 20x20</t>
  </si>
  <si>
    <t>388</t>
  </si>
  <si>
    <t>ROMPI SAFETY</t>
  </si>
  <si>
    <t>389</t>
  </si>
  <si>
    <t>ROMPI SECURITY</t>
  </si>
  <si>
    <t>390</t>
  </si>
  <si>
    <t>HELM SAFETY BIRU</t>
  </si>
  <si>
    <t>391</t>
  </si>
  <si>
    <t>BREKET HELM</t>
  </si>
  <si>
    <t>392</t>
  </si>
  <si>
    <t>393</t>
  </si>
  <si>
    <t>394</t>
  </si>
  <si>
    <t xml:space="preserve">MASKER </t>
  </si>
  <si>
    <t>395</t>
  </si>
  <si>
    <t>ASAM MEFENAMAT</t>
  </si>
  <si>
    <t>396</t>
  </si>
  <si>
    <t>METHYL PREDNISOLONE</t>
  </si>
  <si>
    <t>397</t>
  </si>
  <si>
    <t>VICEE TABLET</t>
  </si>
  <si>
    <t>398</t>
  </si>
  <si>
    <t>BETAMETHAZONE</t>
  </si>
  <si>
    <t>399</t>
  </si>
  <si>
    <t>KASA STERIL</t>
  </si>
  <si>
    <t>400</t>
  </si>
  <si>
    <t>KASA ROLL</t>
  </si>
  <si>
    <t>401</t>
  </si>
  <si>
    <t>BATERAI ALKALINE A3</t>
  </si>
  <si>
    <t>402</t>
  </si>
  <si>
    <t>BIBIT SEMANGKA</t>
  </si>
  <si>
    <t>403</t>
  </si>
  <si>
    <t>BUNGA MELATI</t>
  </si>
  <si>
    <t>404</t>
  </si>
  <si>
    <t xml:space="preserve">SPANDUK NERACA </t>
  </si>
  <si>
    <t>405</t>
  </si>
  <si>
    <t>SPANDUK BEDENG</t>
  </si>
  <si>
    <t>406</t>
  </si>
  <si>
    <t>407</t>
  </si>
  <si>
    <t xml:space="preserve">BESI COR </t>
  </si>
  <si>
    <t>408</t>
  </si>
  <si>
    <t>409</t>
  </si>
  <si>
    <t>SERUM ANTI BISA ULAR</t>
  </si>
  <si>
    <t>410</t>
  </si>
  <si>
    <t>PILOX MERAH</t>
  </si>
  <si>
    <t>411</t>
  </si>
  <si>
    <t>412</t>
  </si>
  <si>
    <t>AMPLAS KERTAS 1000</t>
  </si>
  <si>
    <t>413</t>
  </si>
  <si>
    <t>EMBER</t>
  </si>
  <si>
    <t>414</t>
  </si>
  <si>
    <t>KUAS 4'</t>
  </si>
  <si>
    <t>415</t>
  </si>
  <si>
    <t>ENGSEL SEDANG</t>
  </si>
  <si>
    <t>416</t>
  </si>
  <si>
    <t xml:space="preserve">CAT PERNIS </t>
  </si>
  <si>
    <t>417</t>
  </si>
  <si>
    <t>418</t>
  </si>
  <si>
    <t>419</t>
  </si>
  <si>
    <t>ANTANGIN</t>
  </si>
  <si>
    <t>420</t>
  </si>
  <si>
    <t>AMBLODIPINE</t>
  </si>
  <si>
    <t>421</t>
  </si>
  <si>
    <t>CAIRAN NACL</t>
  </si>
  <si>
    <t>422</t>
  </si>
  <si>
    <t>CAIRAN RL</t>
  </si>
  <si>
    <t>423</t>
  </si>
  <si>
    <t>VITAMIN B COMPLEX</t>
  </si>
  <si>
    <t>424</t>
  </si>
  <si>
    <t>425</t>
  </si>
  <si>
    <t>426</t>
  </si>
  <si>
    <t>BANNER SPANDUK</t>
  </si>
  <si>
    <t>427</t>
  </si>
  <si>
    <t>MATA CUTTER</t>
  </si>
  <si>
    <t>428</t>
  </si>
  <si>
    <t>PULPEN</t>
  </si>
  <si>
    <t>429</t>
  </si>
  <si>
    <t>DOUBLE TIP</t>
  </si>
  <si>
    <t>430</t>
  </si>
  <si>
    <t>431</t>
  </si>
  <si>
    <t>MATERAI 10.000</t>
  </si>
  <si>
    <t>432</t>
  </si>
  <si>
    <t>FLUCADEX</t>
  </si>
  <si>
    <t>433</t>
  </si>
  <si>
    <t>PARACETAMOL</t>
  </si>
  <si>
    <t>TABLET</t>
  </si>
  <si>
    <t>434</t>
  </si>
  <si>
    <t>ACTYLENE</t>
  </si>
  <si>
    <t>435</t>
  </si>
  <si>
    <t>AMOXILIN</t>
  </si>
  <si>
    <t>436</t>
  </si>
  <si>
    <t>AMPLAS KERTAS 1500</t>
  </si>
  <si>
    <t>437</t>
  </si>
  <si>
    <t>438</t>
  </si>
  <si>
    <t>CIPROFLOXACIN</t>
  </si>
  <si>
    <t>439</t>
  </si>
  <si>
    <t xml:space="preserve">KETOROLAC </t>
  </si>
  <si>
    <t>440</t>
  </si>
  <si>
    <t>INFUS SET</t>
  </si>
  <si>
    <t>441</t>
  </si>
  <si>
    <t>HANDSANITIZER</t>
  </si>
  <si>
    <t>442</t>
  </si>
  <si>
    <t>PUPUK KNO PUTIH</t>
  </si>
  <si>
    <t>443</t>
  </si>
  <si>
    <t>444</t>
  </si>
  <si>
    <t xml:space="preserve">PUPUK </t>
  </si>
  <si>
    <t>KARUNG</t>
  </si>
  <si>
    <t>445</t>
  </si>
  <si>
    <t>446</t>
  </si>
  <si>
    <t>RANITIDINE</t>
  </si>
  <si>
    <t>447</t>
  </si>
  <si>
    <t>DICLOFENAC SODIUM TABLET</t>
  </si>
  <si>
    <t>448</t>
  </si>
  <si>
    <t>STRIP CHOLESTROL</t>
  </si>
  <si>
    <t>449</t>
  </si>
  <si>
    <t>SUSU BERUANG</t>
  </si>
  <si>
    <t>450</t>
  </si>
  <si>
    <t>CEFADROXIL TABLET</t>
  </si>
  <si>
    <t>451</t>
  </si>
  <si>
    <t>452</t>
  </si>
  <si>
    <t>CETIRIZINE TABLET</t>
  </si>
  <si>
    <t>453</t>
  </si>
  <si>
    <t>GREAN OIL</t>
  </si>
  <si>
    <t>454</t>
  </si>
  <si>
    <t>UNDERPAD</t>
  </si>
  <si>
    <t>455</t>
  </si>
  <si>
    <t xml:space="preserve">PVC ID CARD </t>
  </si>
  <si>
    <t>456</t>
  </si>
  <si>
    <t xml:space="preserve">TINTA EPSON </t>
  </si>
  <si>
    <t>457</t>
  </si>
  <si>
    <t xml:space="preserve">ALAT HECTING </t>
  </si>
  <si>
    <t>458</t>
  </si>
  <si>
    <t xml:space="preserve">HANDSCUN </t>
  </si>
  <si>
    <t>459</t>
  </si>
  <si>
    <t>HELM PUTIH</t>
  </si>
  <si>
    <t>460</t>
  </si>
  <si>
    <t>TROPOL SEMEN</t>
  </si>
  <si>
    <t>461</t>
  </si>
  <si>
    <t>PUPUK NPK</t>
  </si>
  <si>
    <t>462</t>
  </si>
  <si>
    <t xml:space="preserve">PRESSURE SPRAYER </t>
  </si>
  <si>
    <t>463</t>
  </si>
  <si>
    <t>464</t>
  </si>
  <si>
    <t>465</t>
  </si>
  <si>
    <t>PLASTIK LAMINATING</t>
  </si>
  <si>
    <t>466</t>
  </si>
  <si>
    <t>467</t>
  </si>
  <si>
    <t>468</t>
  </si>
  <si>
    <t>RAK DOKUMEN</t>
  </si>
  <si>
    <t>469</t>
  </si>
  <si>
    <t>PAPAN UJIAN</t>
  </si>
  <si>
    <t>470</t>
  </si>
  <si>
    <t>POLISILINE</t>
  </si>
  <si>
    <t>471</t>
  </si>
  <si>
    <t>MOLEN</t>
  </si>
  <si>
    <t>472</t>
  </si>
  <si>
    <t>473</t>
  </si>
  <si>
    <t>EARMUFF</t>
  </si>
  <si>
    <t>474</t>
  </si>
  <si>
    <t xml:space="preserve">METRONIDAZOLE </t>
  </si>
  <si>
    <t>475</t>
  </si>
  <si>
    <t>OLI MEDITRAN SX</t>
  </si>
  <si>
    <t>MAINTENANCE</t>
  </si>
  <si>
    <t>476</t>
  </si>
  <si>
    <t>STOP KONTAK 3 MATA</t>
  </si>
  <si>
    <t>477</t>
  </si>
  <si>
    <t>STOP KONTAK 4 MATA</t>
  </si>
  <si>
    <t>478</t>
  </si>
  <si>
    <t>LAMPU 20 WATT</t>
  </si>
  <si>
    <t>479</t>
  </si>
  <si>
    <t>FITTING TEMPEL</t>
  </si>
  <si>
    <t>480</t>
  </si>
  <si>
    <t>SAKELAR TEMPEL GANDA</t>
  </si>
  <si>
    <t>481</t>
  </si>
  <si>
    <t>SAKELAR TEMPEL TUNGGAL</t>
  </si>
  <si>
    <t>482</t>
  </si>
  <si>
    <t>KLEM KABEL</t>
  </si>
  <si>
    <t>483</t>
  </si>
  <si>
    <t>MCB 10 A</t>
  </si>
  <si>
    <t>484</t>
  </si>
  <si>
    <t>ISOLASI KABEL</t>
  </si>
  <si>
    <t>485</t>
  </si>
  <si>
    <t>MCB 20 A</t>
  </si>
  <si>
    <t>486</t>
  </si>
  <si>
    <t>LAMPU 19 WATT</t>
  </si>
  <si>
    <t>487</t>
  </si>
  <si>
    <t>KABEL ETERNA</t>
  </si>
  <si>
    <t>488</t>
  </si>
  <si>
    <t>489</t>
  </si>
  <si>
    <t>PALU MINI</t>
  </si>
  <si>
    <t>490</t>
  </si>
  <si>
    <t>COLOKAN CABANG T</t>
  </si>
  <si>
    <t>491</t>
  </si>
  <si>
    <t>TESPEN</t>
  </si>
  <si>
    <t>492</t>
  </si>
  <si>
    <t>SAPU IJUK</t>
  </si>
  <si>
    <t>493</t>
  </si>
  <si>
    <t>KIPAS ANGIN</t>
  </si>
  <si>
    <t>494</t>
  </si>
  <si>
    <t>495</t>
  </si>
  <si>
    <t>FILTER SOLAR P558615</t>
  </si>
  <si>
    <t>496</t>
  </si>
  <si>
    <t>FILTER SOLAR P550248</t>
  </si>
  <si>
    <t>497</t>
  </si>
  <si>
    <t>FILTER SOLAR P551329</t>
  </si>
  <si>
    <t>498</t>
  </si>
  <si>
    <t>FILTER OLI SFF 0731</t>
  </si>
  <si>
    <t>499</t>
  </si>
  <si>
    <t>BUBUT BAUT PULVERIZER</t>
  </si>
  <si>
    <t>500</t>
  </si>
  <si>
    <t>BEARING 63005</t>
  </si>
  <si>
    <t>501</t>
  </si>
  <si>
    <t>KUNCI SHOCK TEKIRO 1/2 INCH</t>
  </si>
  <si>
    <t>502</t>
  </si>
  <si>
    <t>MANGKOK AMPLAS</t>
  </si>
  <si>
    <t>503</t>
  </si>
  <si>
    <t>MATA GERINDA AMPLAS</t>
  </si>
  <si>
    <t>504</t>
  </si>
  <si>
    <t>REGULATOR ACETYLENE</t>
  </si>
  <si>
    <t>505</t>
  </si>
  <si>
    <t>SEAL TAPE</t>
  </si>
  <si>
    <t>506</t>
  </si>
  <si>
    <t>MATA GERINDA POTONG</t>
  </si>
  <si>
    <t>507</t>
  </si>
  <si>
    <t>MATA GERINDA GOSOK</t>
  </si>
  <si>
    <t>508</t>
  </si>
  <si>
    <t>MATA GERINDA CUTTING WHELL</t>
  </si>
  <si>
    <t>509</t>
  </si>
  <si>
    <t>BUSI GENSET</t>
  </si>
  <si>
    <t>510</t>
  </si>
  <si>
    <t>KUNCI 18</t>
  </si>
  <si>
    <t>511</t>
  </si>
  <si>
    <t>512</t>
  </si>
  <si>
    <t>KEPALA COLOKAN</t>
  </si>
  <si>
    <t>513</t>
  </si>
  <si>
    <t>514</t>
  </si>
  <si>
    <t>CUTTER</t>
  </si>
  <si>
    <t>515</t>
  </si>
  <si>
    <t>516</t>
  </si>
  <si>
    <t>TALI TIS</t>
  </si>
  <si>
    <t>517</t>
  </si>
  <si>
    <t>FILTER FS 1251</t>
  </si>
  <si>
    <t>518</t>
  </si>
  <si>
    <t xml:space="preserve">FILTER FS 1280 </t>
  </si>
  <si>
    <t>519</t>
  </si>
  <si>
    <t>FILTER FF 5052</t>
  </si>
  <si>
    <t>520</t>
  </si>
  <si>
    <t>FILTER LF 3349</t>
  </si>
  <si>
    <t>521</t>
  </si>
  <si>
    <t>KUNCI L</t>
  </si>
  <si>
    <t>522</t>
  </si>
  <si>
    <t>MATA BOR BESI</t>
  </si>
  <si>
    <t>523</t>
  </si>
  <si>
    <t>524</t>
  </si>
  <si>
    <t>RANTAI BAJA</t>
  </si>
  <si>
    <t>525</t>
  </si>
  <si>
    <t>526</t>
  </si>
  <si>
    <t>527</t>
  </si>
  <si>
    <t>528</t>
  </si>
  <si>
    <t>529</t>
  </si>
  <si>
    <t>LAMPU SOROT</t>
  </si>
  <si>
    <t>530</t>
  </si>
  <si>
    <t>CHARGING VALVE</t>
  </si>
  <si>
    <t>531</t>
  </si>
  <si>
    <t xml:space="preserve">MOUSE </t>
  </si>
  <si>
    <t>532</t>
  </si>
  <si>
    <t xml:space="preserve">PELINDUNG KABEL </t>
  </si>
  <si>
    <t>533</t>
  </si>
  <si>
    <t>POMPA SOLAR</t>
  </si>
  <si>
    <t>534</t>
  </si>
  <si>
    <t>KUNCI T</t>
  </si>
  <si>
    <t>535</t>
  </si>
  <si>
    <t>536</t>
  </si>
  <si>
    <t>LEM TRIBON</t>
  </si>
  <si>
    <t>537</t>
  </si>
  <si>
    <t xml:space="preserve">MATA AMPLAS </t>
  </si>
  <si>
    <t>538</t>
  </si>
  <si>
    <t>539</t>
  </si>
  <si>
    <t>540</t>
  </si>
  <si>
    <t>LAMPU 10 WATT</t>
  </si>
  <si>
    <t>541</t>
  </si>
  <si>
    <t>LAMPU 45 WATT</t>
  </si>
  <si>
    <t>542</t>
  </si>
  <si>
    <t>LUB OIL FILTER 4587260</t>
  </si>
  <si>
    <t>543</t>
  </si>
  <si>
    <t>FUEL FILTER 4770550</t>
  </si>
  <si>
    <t>544</t>
  </si>
  <si>
    <t>FUEL FILTER 4650996</t>
  </si>
  <si>
    <t>545</t>
  </si>
  <si>
    <t>MAIN AIR FILTER 4881643</t>
  </si>
  <si>
    <t>546</t>
  </si>
  <si>
    <t>PRODUKSI</t>
  </si>
  <si>
    <t>547</t>
  </si>
  <si>
    <t>548</t>
  </si>
  <si>
    <t>SPIDOL</t>
  </si>
  <si>
    <t>549</t>
  </si>
  <si>
    <t>550</t>
  </si>
  <si>
    <t>551</t>
  </si>
  <si>
    <t>552</t>
  </si>
  <si>
    <t>553</t>
  </si>
  <si>
    <t>554</t>
  </si>
  <si>
    <t>SURVEY</t>
  </si>
  <si>
    <t>555</t>
  </si>
  <si>
    <t>556</t>
  </si>
  <si>
    <t>557</t>
  </si>
  <si>
    <t>BATERAI ABC A3</t>
  </si>
  <si>
    <t>KODE</t>
  </si>
  <si>
    <t>CONTOH KODE BARANG</t>
  </si>
  <si>
    <t>EXP</t>
  </si>
  <si>
    <t>EXP-001</t>
  </si>
  <si>
    <t>HSE-001</t>
  </si>
  <si>
    <t>QAQC-001</t>
  </si>
  <si>
    <t>HCGA-001</t>
  </si>
  <si>
    <t>MNT</t>
  </si>
  <si>
    <t>MNT-001</t>
  </si>
  <si>
    <t>CIV</t>
  </si>
  <si>
    <t>CIV-001</t>
  </si>
  <si>
    <t>GAN</t>
  </si>
  <si>
    <t>GAN-001</t>
  </si>
  <si>
    <t>ENG</t>
  </si>
  <si>
    <t>ENG-001</t>
  </si>
  <si>
    <t>PRO</t>
  </si>
  <si>
    <t>PRO-001</t>
  </si>
  <si>
    <t>SUR</t>
  </si>
  <si>
    <t>SUR-001</t>
  </si>
  <si>
    <t>DAFTAR VENDOR</t>
  </si>
  <si>
    <t>KIOS MENAS</t>
  </si>
  <si>
    <t>TOKO SINAR BARU</t>
  </si>
  <si>
    <t>KIOS MARYAM</t>
  </si>
  <si>
    <t>TOKO CAHAYA BARU</t>
  </si>
  <si>
    <t>TOKO FAVORIT PRIMA</t>
  </si>
  <si>
    <t>KENDARI PART SUPPLY</t>
  </si>
  <si>
    <t>TOKO RAJA BANGUNAN</t>
  </si>
  <si>
    <t>TOKO RAJAWALI</t>
  </si>
  <si>
    <t>TOKO NASIONAL SERVICE</t>
  </si>
  <si>
    <t>FOTOCOPY ADELIA</t>
  </si>
  <si>
    <t>TOKO TANI SEJAHTERA</t>
  </si>
  <si>
    <t>TOKO GRIYA PLASTIK</t>
  </si>
  <si>
    <t>APOTEK AYLIN</t>
  </si>
  <si>
    <t>AIR MINERAL 330 ML</t>
  </si>
  <si>
    <t>TOKO SINAR  KASOGI</t>
  </si>
  <si>
    <t>TOKO SINAR MACAZZAR PABOYA</t>
  </si>
  <si>
    <t>TOKO REZEKI FRESH</t>
  </si>
  <si>
    <t>STAND FAJAR UTAMA</t>
  </si>
  <si>
    <t>APOTEK MEGA FARMA</t>
  </si>
  <si>
    <t>TOKO SINAR KASOGI</t>
  </si>
  <si>
    <t>MR. DIY</t>
  </si>
  <si>
    <t>WIPOL</t>
  </si>
  <si>
    <t>TEH KOTAK ANEKA RASA</t>
  </si>
  <si>
    <t>AIR MINERAL 330 ml</t>
  </si>
  <si>
    <t>SNACK ANEKA RASA</t>
  </si>
  <si>
    <t>OBAT PEL</t>
  </si>
  <si>
    <t>TRASH BAG BESAR</t>
  </si>
  <si>
    <t>PARFUM LOUNDRY</t>
  </si>
  <si>
    <t>KAOS TANGAN PLASTIK</t>
  </si>
  <si>
    <t>PLASTING WRAPPING UK 50CM</t>
  </si>
  <si>
    <t>SENDOK SAMPAH/CIKRAK/PENGKI</t>
  </si>
  <si>
    <t>PLASTIK PENUTUP MEJA</t>
  </si>
  <si>
    <t>KARTON</t>
  </si>
  <si>
    <t>PACK</t>
  </si>
  <si>
    <t>PARANG</t>
  </si>
  <si>
    <t>PERKAMPAS</t>
  </si>
  <si>
    <t>FOTOCOPY FORM P2H</t>
  </si>
  <si>
    <t>FOTOCOPY FORM P5M</t>
  </si>
  <si>
    <t>KACAMATA SAFETY</t>
  </si>
  <si>
    <t>PUPUK KANDANG</t>
  </si>
  <si>
    <t>KERTAS PVC CARD</t>
  </si>
  <si>
    <t>BKS</t>
  </si>
  <si>
    <t>OBAT NYAMUK COLOK</t>
  </si>
  <si>
    <t>TIMBANGAN PORTABLE</t>
  </si>
  <si>
    <t>Bar chainsaw 22"</t>
  </si>
  <si>
    <t>Impregnated WUXI S12</t>
  </si>
  <si>
    <t>Stopkran sanchin 120 kuingan</t>
  </si>
  <si>
    <t>Stopkran sanchin 45 kuningan</t>
  </si>
  <si>
    <t>Press AS Backhand</t>
  </si>
  <si>
    <t>BATERAI A2</t>
  </si>
  <si>
    <t>HT I COM</t>
  </si>
  <si>
    <t>3 rasa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</si>
  <si>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</si>
  <si>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</si>
  <si>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</si>
  <si>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</si>
  <si>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</si>
  <si>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</si>
  <si>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</si>
  <si>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</si>
  <si>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</si>
  <si>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</si>
  <si>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</si>
  <si>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</si>
  <si>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</si>
  <si>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</si>
  <si>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</si>
  <si>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</si>
  <si>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</si>
  <si>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</si>
  <si>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</si>
  <si>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</si>
  <si>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</si>
  <si>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</si>
  <si>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</si>
  <si>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</si>
  <si>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TOKO SADAR NUSANTARA</t>
  </si>
  <si>
    <t>CHAINSAW MOTOYAMA 9900</t>
  </si>
  <si>
    <t>PUTRA MAROS</t>
  </si>
  <si>
    <t>ADHI PUTRA</t>
  </si>
  <si>
    <t>TEKNIK 99 SOROWAKO</t>
  </si>
  <si>
    <t>EMEA</t>
  </si>
  <si>
    <t>KAWAT SLING UKURAN 14 MM</t>
  </si>
  <si>
    <t>RANTAI RS-60 DOUBLE 25 MATA RANTAI + 1 CONNECTING</t>
  </si>
  <si>
    <t>CONNECTOR POLYPIPE 1 INCI</t>
  </si>
  <si>
    <t>SEALKIT MOTOR ORBIT CHARLYNN 2000 SERIES</t>
  </si>
  <si>
    <t>OIL SEAL TC 75-90-10</t>
  </si>
  <si>
    <t>OIL SEAL TC 60-80-10</t>
  </si>
  <si>
    <t>OIL SEAL TC 50-75-10</t>
  </si>
  <si>
    <t>OIL SEAL TC 55-70-12</t>
  </si>
  <si>
    <t>KAWAT SLING UKURAN 12 MM</t>
  </si>
  <si>
    <t>KAWAT SLING UKURAN 8 MM</t>
  </si>
  <si>
    <t>KUNCI PIPA 24</t>
  </si>
  <si>
    <t>APAR 3 KG</t>
  </si>
  <si>
    <t>KUNCI PIPA 36</t>
  </si>
  <si>
    <t>SINAR BARU</t>
  </si>
  <si>
    <t>APAR 4 KG</t>
  </si>
  <si>
    <t>BUBLE WRAP HITAM</t>
  </si>
  <si>
    <t>STAND IRAWAN</t>
  </si>
  <si>
    <t xml:space="preserve">OIL SIGNAL YANMAR TF-65 </t>
  </si>
  <si>
    <t>DNK 5/8 NPT X 1/2INCI (LURUS)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</si>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</sst>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#,##0"/>
    <numFmt numFmtId="165" formatCode="_-[$Rp-421]* #,##0.00_-;\-[$Rp-421]* #,##0.00_-;_-[$Rp-421]* &quot;-&quot;??_-;_-@_-"/>
    <numFmt numFmtId="166" formatCode="_-&quot;Rp&quot;* #,##0_-;\-&quot;Rp&quot;* #,##0_-;_-&quot;Rp&quot;* &quot;-&quot;??_-;_-@_-"/>
    <numFmt numFmtId="167" formatCode="_-[$Rp-421]* #,##0_-;\-[$Rp-421]* #,##0_-;_-[$Rp-421]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 "/>
      <charset val="1"/>
    </font>
    <font>
      <sz val="12"/>
      <color indexed="8"/>
      <name val="Calibri "/>
      <charset val="1"/>
    </font>
    <font>
      <sz val="11"/>
      <color theme="1"/>
      <name val="Calibri "/>
      <charset val="1"/>
    </font>
    <font>
      <b/>
      <sz val="10"/>
      <color theme="1"/>
      <name val="Calibri "/>
      <charset val="1"/>
    </font>
    <font>
      <sz val="11"/>
      <name val="Calibri "/>
      <charset val="1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12" fillId="0" borderId="0"/>
  </cellStyleXfs>
  <cellXfs count="60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3" fillId="2" borderId="2" xfId="0" quotePrefix="1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5" xfId="0" applyFont="1" applyBorder="1"/>
    <xf numFmtId="0" fontId="1" fillId="0" borderId="2" xfId="0" applyFont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/>
    </xf>
    <xf numFmtId="0" fontId="8" fillId="0" borderId="9" xfId="0" applyFont="1" applyBorder="1"/>
    <xf numFmtId="0" fontId="1" fillId="0" borderId="3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10" fontId="8" fillId="0" borderId="5" xfId="0" applyNumberFormat="1" applyFont="1" applyBorder="1"/>
    <xf numFmtId="10" fontId="8" fillId="0" borderId="7" xfId="0" applyNumberFormat="1" applyFont="1" applyBorder="1"/>
    <xf numFmtId="10" fontId="10" fillId="2" borderId="5" xfId="0" applyNumberFormat="1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/>
    </xf>
    <xf numFmtId="0" fontId="9" fillId="2" borderId="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0" fillId="2" borderId="9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2" xfId="0" applyFont="1" applyBorder="1"/>
    <xf numFmtId="0" fontId="1" fillId="0" borderId="0" xfId="0" applyFont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7" fillId="2" borderId="8" xfId="0" applyFont="1" applyFill="1" applyBorder="1" applyAlignment="1">
      <alignment horizontal="left" vertical="center"/>
    </xf>
    <xf numFmtId="165" fontId="14" fillId="0" borderId="2" xfId="0" applyNumberFormat="1" applyFont="1" applyBorder="1"/>
    <xf numFmtId="0" fontId="15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167" fontId="14" fillId="2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165" fontId="14" fillId="0" borderId="3" xfId="0" applyNumberFormat="1" applyFont="1" applyBorder="1"/>
    <xf numFmtId="0" fontId="16" fillId="2" borderId="2" xfId="0" applyFont="1" applyFill="1" applyBorder="1" applyAlignment="1">
      <alignment horizontal="center" vertical="center"/>
    </xf>
    <xf numFmtId="167" fontId="14" fillId="0" borderId="2" xfId="0" applyNumberFormat="1" applyFont="1" applyBorder="1"/>
    <xf numFmtId="167" fontId="14" fillId="0" borderId="2" xfId="0" applyNumberFormat="1" applyFont="1" applyBorder="1" applyAlignment="1">
      <alignment horizontal="center" vertical="center"/>
    </xf>
    <xf numFmtId="167" fontId="14" fillId="0" borderId="2" xfId="0" applyNumberFormat="1" applyFont="1" applyBorder="1" applyAlignment="1">
      <alignment horizontal="center"/>
    </xf>
    <xf numFmtId="167" fontId="14" fillId="0" borderId="3" xfId="0" applyNumberFormat="1" applyFont="1" applyBorder="1"/>
    <xf numFmtId="0" fontId="14" fillId="2" borderId="2" xfId="3" applyFont="1" applyFill="1" applyBorder="1" applyAlignment="1">
      <alignment vertical="center" wrapText="1"/>
    </xf>
    <xf numFmtId="166" fontId="14" fillId="2" borderId="2" xfId="3" applyNumberFormat="1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" fillId="4" borderId="2" xfId="0" quotePrefix="1" applyFont="1" applyFill="1" applyBorder="1" applyAlignment="1">
      <alignment horizontal="center" vertical="center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5" xr:uid="{57733C5F-235A-424B-883C-85DD9954556B}"/>
    <cellStyle name="Normal 2 2 2" xfId="3" xr:uid="{00000000-0005-0000-0000-000003000000}"/>
    <cellStyle name="Normal 3" xfId="4" xr:uid="{00000000-0005-0000-0000-000004000000}"/>
    <cellStyle name="Normal 5 2" xfId="2" xr:uid="{00000000-0005-0000-0000-000002000000}"/>
  </cellStyles>
  <dxfs count="78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strike val="0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strike val="0"/>
        <color rgb="FFFF0000"/>
      </font>
      <fill>
        <patternFill patternType="solid">
          <bgColor rgb="FFFFFF00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strike val="0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strike val="0"/>
        <color rgb="FFFF0000"/>
      </font>
      <fill>
        <patternFill patternType="solid">
          <bgColor rgb="FFFFFF00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strike val="0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strike val="0"/>
        <color rgb="FFFF0000"/>
      </font>
      <fill>
        <patternFill patternType="solid">
          <bgColor rgb="FFFFFF00"/>
        </patternFill>
      </fill>
    </dxf>
    <dxf>
      <font>
        <color rgb="FF9C0006"/>
      </font>
    </dxf>
    <dxf>
      <font>
        <strike val="0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ont>
        <color rgb="FF9C0006"/>
      </font>
    </dxf>
    <dxf>
      <font>
        <strike val="0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strike val="0"/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color rgb="FFFF0000"/>
      </font>
      <fill>
        <patternFill patternType="solid">
          <bgColor rgb="FFFFFF00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01"/>
  <sheetViews>
    <sheetView tabSelected="1" zoomScale="69" zoomScaleNormal="72" workbookViewId="0">
      <selection activeCell="D595" sqref="D595"/>
    </sheetView>
  </sheetViews>
  <sheetFormatPr defaultColWidth="8.81640625" defaultRowHeight="14.5"/>
  <cols>
    <col min="2" max="2" width="8.81640625" customWidth="1"/>
    <col min="3" max="3" width="38.90625" customWidth="1"/>
    <col min="4" max="4" width="21.1796875" bestFit="1" customWidth="1"/>
    <col min="5" max="5" width="21.1796875" customWidth="1"/>
    <col min="6" max="6" width="31.6328125" bestFit="1" customWidth="1"/>
    <col min="7" max="7" width="21.1796875" customWidth="1"/>
    <col min="8" max="8" width="15.90625" bestFit="1" customWidth="1"/>
    <col min="9" max="9" width="16.81640625" bestFit="1" customWidth="1"/>
    <col min="10" max="10" width="16" bestFit="1" customWidth="1"/>
  </cols>
  <sheetData>
    <row r="1" spans="2:10">
      <c r="B1" s="54" t="s">
        <v>0</v>
      </c>
      <c r="C1" s="58" t="s">
        <v>1</v>
      </c>
      <c r="D1" s="59" t="s">
        <v>2</v>
      </c>
      <c r="E1" s="59" t="s">
        <v>4</v>
      </c>
      <c r="F1" s="59" t="s">
        <v>1082</v>
      </c>
      <c r="G1" s="58" t="s">
        <v>3</v>
      </c>
      <c r="H1" s="57" t="s">
        <v>5</v>
      </c>
      <c r="I1" s="56" t="s">
        <v>6</v>
      </c>
      <c r="J1" s="56" t="s">
        <v>7</v>
      </c>
    </row>
    <row r="2" spans="2:10" ht="42.75" customHeight="1">
      <c r="B2" s="55"/>
      <c r="C2" s="55"/>
      <c r="D2" s="55"/>
      <c r="E2" s="55"/>
      <c r="F2" s="55"/>
      <c r="G2" s="55"/>
      <c r="H2" s="55"/>
      <c r="I2" s="55"/>
      <c r="J2" s="55"/>
    </row>
    <row r="3" spans="2:10" ht="15.5" customHeight="1">
      <c r="B3" s="4" t="s">
        <v>8</v>
      </c>
      <c r="C3" s="6" t="s">
        <v>9</v>
      </c>
      <c r="D3" s="46">
        <v>15000</v>
      </c>
      <c r="E3" s="33" t="s">
        <v>11</v>
      </c>
      <c r="F3" s="34" t="s">
        <v>1083</v>
      </c>
      <c r="G3" s="9" t="s">
        <v>10</v>
      </c>
      <c r="H3" s="1" t="str">
        <f>IF(G3="","",IF(G3="EKSPLORASI","EXP-"&amp;TEXT(COUNTIF($G$3:G3,G3),"000"),IF(G3="HSE","HSE-"&amp;TEXT(COUNTIF($G$3:G3,G3),"000"),IF(G3="QAQC","QAQC-"&amp;TEXT(COUNTIF($G$3:G3,G3),"000"),IF(G3="HCGA","HCGA-"&amp;TEXT(COUNTIF($G$3:G3,G3),"000"),IF(G3="MAINTENANCE","MNT-"&amp;TEXT(COUNTIF($G$3:G3,G3),"000"),IF(G3="CIVIL","CIV-"&amp;TEXT(COUNTIF($G$3:G3,G3),"000"),IF(G3="GANIS","GAN-"&amp;TEXT(COUNTIF($G$3:G3,G3),"000"),IF(G3="ENGINEERING","ENG-"&amp;TEXT(COUNTIF($G$3:G3,G3),"000"),IF(G3="PRODUKSI","PRO-"&amp;TEXT(COUNTIF($G$3:G3,G3),"000"),IF(G3="SURVEY","SUR-"&amp;TEXT(COUNTIF($G$3:G3,G3),"000"),"")))))))))))</f>
        <v>EXP-001</v>
      </c>
      <c r="I3" s="2"/>
      <c r="J3" s="2"/>
    </row>
    <row r="4" spans="2:10" ht="15.5" customHeight="1">
      <c r="B4" s="4" t="s">
        <v>12</v>
      </c>
      <c r="C4" s="7" t="s">
        <v>13</v>
      </c>
      <c r="D4" s="47">
        <v>870000</v>
      </c>
      <c r="E4" s="33" t="s">
        <v>14</v>
      </c>
      <c r="F4" s="34" t="s">
        <v>1159</v>
      </c>
      <c r="G4" s="9" t="s">
        <v>10</v>
      </c>
      <c r="H4" s="1" t="str">
        <f>IF(G4="","",IF(G4="EKSPLORASI","EXP-"&amp;TEXT(COUNTIF($G$3:G4,G4),"000"),IF(G4="HSE","HSE-"&amp;TEXT(COUNTIF($G$3:G4,G4),"000"),IF(G4="QAQC","QAQC-"&amp;TEXT(COUNTIF($G$3:G4,G4),"000"),IF(G4="HCGA","HCGA-"&amp;TEXT(COUNTIF($G$3:G4,G4),"000"),IF(G4="MAINTENANCE","MNT-"&amp;TEXT(COUNTIF($G$3:G4,G4),"000"),IF(G4="CIVIL","CIV-"&amp;TEXT(COUNTIF($G$3:G4,G4),"000"),IF(G4="GANIS","GAN-"&amp;TEXT(COUNTIF($G$3:G4,G4),"000"),IF(G4="ENGINEERING","ENG-"&amp;TEXT(COUNTIF($G$3:G4,G4),"000"),IF(G4="PRODUKSI","PRO-"&amp;TEXT(COUNTIF($G$3:G4,G4),"000"),IF(G4="SURVEY","SUR-"&amp;TEXT(COUNTIF($G$3:G4,G4),"000"),"")))))))))))</f>
        <v>EXP-002</v>
      </c>
      <c r="I4" s="2"/>
      <c r="J4" s="2"/>
    </row>
    <row r="5" spans="2:10" ht="15.5" customHeight="1">
      <c r="B5" s="4" t="s">
        <v>15</v>
      </c>
      <c r="C5" s="7" t="s">
        <v>16</v>
      </c>
      <c r="D5" s="47">
        <v>290000</v>
      </c>
      <c r="E5" s="33" t="s">
        <v>14</v>
      </c>
      <c r="F5" s="34" t="s">
        <v>1159</v>
      </c>
      <c r="G5" s="9" t="s">
        <v>10</v>
      </c>
      <c r="H5" s="1" t="str">
        <f>IF(G5="","",IF(G5="EKSPLORASI","EXP-"&amp;TEXT(COUNTIF($G$3:G5,G5),"000"),IF(G5="HSE","HSE-"&amp;TEXT(COUNTIF($G$3:G5,G5),"000"),IF(G5="QAQC","QAQC-"&amp;TEXT(COUNTIF($G$3:G5,G5),"000"),IF(G5="HCGA","HCGA-"&amp;TEXT(COUNTIF($G$3:G5,G5),"000"),IF(G5="MAINTENANCE","MNT-"&amp;TEXT(COUNTIF($G$3:G5,G5),"000"),IF(G5="CIVIL","CIV-"&amp;TEXT(COUNTIF($G$3:G5,G5),"000"),IF(G5="GANIS","GAN-"&amp;TEXT(COUNTIF($G$3:G5,G5),"000"),IF(G5="ENGINEERING","ENG-"&amp;TEXT(COUNTIF($G$3:G5,G5),"000"),IF(G5="PRODUKSI","PRO-"&amp;TEXT(COUNTIF($G$3:G5,G5),"000"),IF(G5="SURVEY","SUR-"&amp;TEXT(COUNTIF($G$3:G5,G5),"000"),"")))))))))))</f>
        <v>EXP-003</v>
      </c>
      <c r="I5" s="2"/>
      <c r="J5" s="2"/>
    </row>
    <row r="6" spans="2:10" ht="15.5" customHeight="1">
      <c r="B6" s="4" t="s">
        <v>17</v>
      </c>
      <c r="C6" s="7" t="s">
        <v>1127</v>
      </c>
      <c r="D6" s="47">
        <v>500000</v>
      </c>
      <c r="E6" s="33" t="s">
        <v>14</v>
      </c>
      <c r="F6" s="34"/>
      <c r="G6" s="9" t="s">
        <v>10</v>
      </c>
      <c r="H6" s="1" t="str">
        <f>IF(G6="","",IF(G6="EKSPLORASI","EXP-"&amp;TEXT(COUNTIF($G$3:G6,G6),"000"),IF(G6="HSE","HSE-"&amp;TEXT(COUNTIF($G$3:G6,G6),"000"),IF(G6="QAQC","QAQC-"&amp;TEXT(COUNTIF($G$3:G6,G6),"000"),IF(G6="HCGA","HCGA-"&amp;TEXT(COUNTIF($G$3:G6,G6),"000"),IF(G6="MAINTENANCE","MNT-"&amp;TEXT(COUNTIF($G$3:G6,G6),"000"),IF(G6="CIVIL","CIV-"&amp;TEXT(COUNTIF($G$3:G6,G6),"000"),IF(G6="GANIS","GAN-"&amp;TEXT(COUNTIF($G$3:G6,G6),"000"),IF(G6="ENGINEERING","ENG-"&amp;TEXT(COUNTIF($G$3:G6,G6),"000"),IF(G6="PRODUKSI","PRO-"&amp;TEXT(COUNTIF($G$3:G6,G6),"000"),IF(G6="SURVEY","SUR-"&amp;TEXT(COUNTIF($G$3:G6,G6),"000"),"")))))))))))</f>
        <v>EXP-004</v>
      </c>
      <c r="I6" s="2"/>
      <c r="J6" s="2"/>
    </row>
    <row r="7" spans="2:10" ht="15.5" customHeight="1">
      <c r="B7" s="4" t="s">
        <v>19</v>
      </c>
      <c r="C7" s="7" t="s">
        <v>1128</v>
      </c>
      <c r="D7" s="47">
        <v>3650000</v>
      </c>
      <c r="E7" s="33" t="s">
        <v>14</v>
      </c>
      <c r="F7" s="34" t="s">
        <v>1088</v>
      </c>
      <c r="G7" s="9" t="s">
        <v>10</v>
      </c>
      <c r="H7" s="1" t="str">
        <f>IF(G7="","",IF(G7="EKSPLORASI","EXP-"&amp;TEXT(COUNTIF($G$3:G7,G7),"000"),IF(G7="HSE","HSE-"&amp;TEXT(COUNTIF($G$3:G7,G7),"000"),IF(G7="QAQC","QAQC-"&amp;TEXT(COUNTIF($G$3:G7,G7),"000"),IF(G7="HCGA","HCGA-"&amp;TEXT(COUNTIF($G$3:G7,G7),"000"),IF(G7="MAINTENANCE","MNT-"&amp;TEXT(COUNTIF($G$3:G7,G7),"000"),IF(G7="CIVIL","CIV-"&amp;TEXT(COUNTIF($G$3:G7,G7),"000"),IF(G7="GANIS","GAN-"&amp;TEXT(COUNTIF($G$3:G7,G7),"000"),IF(G7="ENGINEERING","ENG-"&amp;TEXT(COUNTIF($G$3:G7,G7),"000"),IF(G7="PRODUKSI","PRO-"&amp;TEXT(COUNTIF($G$3:G7,G7),"000"),IF(G7="SURVEY","SUR-"&amp;TEXT(COUNTIF($G$3:G7,G7),"000"),"")))))))))))</f>
        <v>EXP-005</v>
      </c>
      <c r="I7" s="2"/>
      <c r="J7" s="2"/>
    </row>
    <row r="8" spans="2:10" ht="15.5" customHeight="1">
      <c r="B8" s="4" t="s">
        <v>21</v>
      </c>
      <c r="C8" s="7" t="s">
        <v>1129</v>
      </c>
      <c r="D8" s="47">
        <v>125000</v>
      </c>
      <c r="E8" s="33" t="s">
        <v>14</v>
      </c>
      <c r="F8" s="34" t="s">
        <v>1088</v>
      </c>
      <c r="G8" s="9" t="s">
        <v>10</v>
      </c>
      <c r="H8" s="1" t="str">
        <f>IF(G8="","",IF(G8="EKSPLORASI","EXP-"&amp;TEXT(COUNTIF($G$3:G8,G8),"000"),IF(G8="HSE","HSE-"&amp;TEXT(COUNTIF($G$3:G8,G8),"000"),IF(G8="QAQC","QAQC-"&amp;TEXT(COUNTIF($G$3:G8,G8),"000"),IF(G8="HCGA","HCGA-"&amp;TEXT(COUNTIF($G$3:G8,G8),"000"),IF(G8="MAINTENANCE","MNT-"&amp;TEXT(COUNTIF($G$3:G8,G8),"000"),IF(G8="CIVIL","CIV-"&amp;TEXT(COUNTIF($G$3:G8,G8),"000"),IF(G8="GANIS","GAN-"&amp;TEXT(COUNTIF($G$3:G8,G8),"000"),IF(G8="ENGINEERING","ENG-"&amp;TEXT(COUNTIF($G$3:G8,G8),"000"),IF(G8="PRODUKSI","PRO-"&amp;TEXT(COUNTIF($G$3:G8,G8),"000"),IF(G8="SURVEY","SUR-"&amp;TEXT(COUNTIF($G$3:G8,G8),"000"),"")))))))))))</f>
        <v>EXP-006</v>
      </c>
      <c r="I8" s="2"/>
      <c r="J8" s="2"/>
    </row>
    <row r="9" spans="2:10" ht="15.5" customHeight="1">
      <c r="B9" s="4" t="s">
        <v>23</v>
      </c>
      <c r="C9" s="7" t="s">
        <v>1130</v>
      </c>
      <c r="D9" s="47">
        <v>85000</v>
      </c>
      <c r="E9" s="33" t="s">
        <v>14</v>
      </c>
      <c r="F9" s="34" t="s">
        <v>1088</v>
      </c>
      <c r="G9" s="9" t="s">
        <v>10</v>
      </c>
      <c r="H9" s="1" t="str">
        <f>IF(G9="","",IF(G9="EKSPLORASI","EXP-"&amp;TEXT(COUNTIF($G$3:G9,G9),"000"),IF(G9="HSE","HSE-"&amp;TEXT(COUNTIF($G$3:G9,G9),"000"),IF(G9="QAQC","QAQC-"&amp;TEXT(COUNTIF($G$3:G9,G9),"000"),IF(G9="HCGA","HCGA-"&amp;TEXT(COUNTIF($G$3:G9,G9),"000"),IF(G9="MAINTENANCE","MNT-"&amp;TEXT(COUNTIF($G$3:G9,G9),"000"),IF(G9="CIVIL","CIV-"&amp;TEXT(COUNTIF($G$3:G9,G9),"000"),IF(G9="GANIS","GAN-"&amp;TEXT(COUNTIF($G$3:G9,G9),"000"),IF(G9="ENGINEERING","ENG-"&amp;TEXT(COUNTIF($G$3:G9,G9),"000"),IF(G9="PRODUKSI","PRO-"&amp;TEXT(COUNTIF($G$3:G9,G9),"000"),IF(G9="SURVEY","SUR-"&amp;TEXT(COUNTIF($G$3:G9,G9),"000"),"")))))))))))</f>
        <v>EXP-007</v>
      </c>
      <c r="I9" s="2"/>
      <c r="J9" s="2"/>
    </row>
    <row r="10" spans="2:10" ht="15.5" customHeight="1">
      <c r="B10" s="4" t="s">
        <v>26</v>
      </c>
      <c r="C10" s="7" t="s">
        <v>1131</v>
      </c>
      <c r="D10" s="47">
        <v>450000</v>
      </c>
      <c r="E10" s="33" t="s">
        <v>14</v>
      </c>
      <c r="F10" s="34" t="s">
        <v>1164</v>
      </c>
      <c r="G10" s="9" t="s">
        <v>10</v>
      </c>
      <c r="H10" s="1" t="str">
        <f>IF(G10="","",IF(G10="EKSPLORASI","EXP-"&amp;TEXT(COUNTIF($G$3:G10,G10),"000"),IF(G10="HSE","HSE-"&amp;TEXT(COUNTIF($G$3:G10,G10),"000"),IF(G10="QAQC","QAQC-"&amp;TEXT(COUNTIF($G$3:G10,G10),"000"),IF(G10="HCGA","HCGA-"&amp;TEXT(COUNTIF($G$3:G10,G10),"000"),IF(G10="MAINTENANCE","MNT-"&amp;TEXT(COUNTIF($G$3:G10,G10),"000"),IF(G10="CIVIL","CIV-"&amp;TEXT(COUNTIF($G$3:G10,G10),"000"),IF(G10="GANIS","GAN-"&amp;TEXT(COUNTIF($G$3:G10,G10),"000"),IF(G10="ENGINEERING","ENG-"&amp;TEXT(COUNTIF($G$3:G10,G10),"000"),IF(G10="PRODUKSI","PRO-"&amp;TEXT(COUNTIF($G$3:G10,G10),"000"),IF(G10="SURVEY","SUR-"&amp;TEXT(COUNTIF($G$3:G10,G10),"000"),"")))))))))))</f>
        <v>EXP-008</v>
      </c>
      <c r="I10" s="2"/>
      <c r="J10" s="2"/>
    </row>
    <row r="11" spans="2:10" ht="15.5" customHeight="1">
      <c r="B11" s="4" t="s">
        <v>28</v>
      </c>
      <c r="C11" s="7" t="s">
        <v>18</v>
      </c>
      <c r="D11" s="47">
        <v>290000</v>
      </c>
      <c r="E11" s="33" t="s">
        <v>14</v>
      </c>
      <c r="F11" s="34" t="s">
        <v>1159</v>
      </c>
      <c r="G11" s="9" t="s">
        <v>10</v>
      </c>
      <c r="H11" s="1" t="str">
        <f>IF(G11="","",IF(G11="EKSPLORASI","EXP-"&amp;TEXT(COUNTIF($G$3:G11,G11),"000"),IF(G11="HSE","HSE-"&amp;TEXT(COUNTIF($G$3:G11,G11),"000"),IF(G11="QAQC","QAQC-"&amp;TEXT(COUNTIF($G$3:G11,G11),"000"),IF(G11="HCGA","HCGA-"&amp;TEXT(COUNTIF($G$3:G11,G11),"000"),IF(G11="MAINTENANCE","MNT-"&amp;TEXT(COUNTIF($G$3:G11,G11),"000"),IF(G11="CIVIL","CIV-"&amp;TEXT(COUNTIF($G$3:G11,G11),"000"),IF(G11="GANIS","GAN-"&amp;TEXT(COUNTIF($G$3:G11,G11),"000"),IF(G11="ENGINEERING","ENG-"&amp;TEXT(COUNTIF($G$3:G11,G11),"000"),IF(G11="PRODUKSI","PRO-"&amp;TEXT(COUNTIF($G$3:G11,G11),"000"),IF(G11="SURVEY","SUR-"&amp;TEXT(COUNTIF($G$3:G11,G11),"000"),"")))))))))))</f>
        <v>EXP-009</v>
      </c>
      <c r="I11" s="2"/>
      <c r="J11" s="2"/>
    </row>
    <row r="12" spans="2:10" ht="15.5" customHeight="1">
      <c r="B12" s="4" t="s">
        <v>30</v>
      </c>
      <c r="C12" s="31" t="s">
        <v>20</v>
      </c>
      <c r="D12" s="46">
        <v>350000</v>
      </c>
      <c r="E12" s="33" t="s">
        <v>14</v>
      </c>
      <c r="F12" s="34" t="s">
        <v>1163</v>
      </c>
      <c r="G12" s="9" t="s">
        <v>10</v>
      </c>
      <c r="H12" s="1" t="str">
        <f>IF(G12="","",IF(G12="EKSPLORASI","EXP-"&amp;TEXT(COUNTIF($G$3:G12,G12),"000"),IF(G12="HSE","HSE-"&amp;TEXT(COUNTIF($G$3:G12,G12),"000"),IF(G12="QAQC","QAQC-"&amp;TEXT(COUNTIF($G$3:G12,G12),"000"),IF(G12="HCGA","HCGA-"&amp;TEXT(COUNTIF($G$3:G12,G12),"000"),IF(G12="MAINTENANCE","MNT-"&amp;TEXT(COUNTIF($G$3:G12,G12),"000"),IF(G12="CIVIL","CIV-"&amp;TEXT(COUNTIF($G$3:G12,G12),"000"),IF(G12="GANIS","GAN-"&amp;TEXT(COUNTIF($G$3:G12,G12),"000"),IF(G12="ENGINEERING","ENG-"&amp;TEXT(COUNTIF($G$3:G12,G12),"000"),IF(G12="PRODUKSI","PRO-"&amp;TEXT(COUNTIF($G$3:G12,G12),"000"),IF(G12="SURVEY","SUR-"&amp;TEXT(COUNTIF($G$3:G12,G12),"000"),"")))))))))))</f>
        <v>EXP-010</v>
      </c>
      <c r="I12" s="28"/>
      <c r="J12" s="2"/>
    </row>
    <row r="13" spans="2:10" ht="15.5" customHeight="1">
      <c r="B13" s="4" t="s">
        <v>32</v>
      </c>
      <c r="C13" s="7" t="s">
        <v>22</v>
      </c>
      <c r="D13" s="36">
        <v>25000</v>
      </c>
      <c r="E13" s="33" t="s">
        <v>25</v>
      </c>
      <c r="F13" s="34" t="s">
        <v>1084</v>
      </c>
      <c r="G13" s="9" t="s">
        <v>10</v>
      </c>
      <c r="H13" s="1" t="str">
        <f>IF(G13="","",IF(G13="EKSPLORASI","EXP-"&amp;TEXT(COUNTIF($G$3:G13,G13),"000"),IF(G13="HSE","HSE-"&amp;TEXT(COUNTIF($G$3:G13,G13),"000"),IF(G13="QAQC","QAQC-"&amp;TEXT(COUNTIF($G$3:G13,G13),"000"),IF(G13="HCGA","HCGA-"&amp;TEXT(COUNTIF($G$3:G13,G13),"000"),IF(G13="MAINTENANCE","MNT-"&amp;TEXT(COUNTIF($G$3:G13,G13),"000"),IF(G13="CIVIL","CIV-"&amp;TEXT(COUNTIF($G$3:G13,G13),"000"),IF(G13="GANIS","GAN-"&amp;TEXT(COUNTIF($G$3:G13,G13),"000"),IF(G13="ENGINEERING","ENG-"&amp;TEXT(COUNTIF($G$3:G13,G13),"000"),IF(G13="PRODUKSI","PRO-"&amp;TEXT(COUNTIF($G$3:G13,G13),"000"),IF(G13="SURVEY","SUR-"&amp;TEXT(COUNTIF($G$3:G13,G13),"000"),"")))))))))))</f>
        <v>EXP-011</v>
      </c>
      <c r="I13" s="2"/>
      <c r="J13" s="2"/>
    </row>
    <row r="14" spans="2:10" ht="15.5" customHeight="1">
      <c r="B14" s="4" t="s">
        <v>35</v>
      </c>
      <c r="C14" s="7" t="s">
        <v>24</v>
      </c>
      <c r="D14" s="36">
        <v>5000</v>
      </c>
      <c r="E14" s="37" t="s">
        <v>14</v>
      </c>
      <c r="F14" s="34" t="s">
        <v>1084</v>
      </c>
      <c r="G14" s="9" t="s">
        <v>10</v>
      </c>
      <c r="H14" s="1" t="str">
        <f>IF(G14="","",IF(G14="EKSPLORASI","EXP-"&amp;TEXT(COUNTIF($G$3:G14,G14),"000"),IF(G14="HSE","HSE-"&amp;TEXT(COUNTIF($G$3:G14,G14),"000"),IF(G14="QAQC","QAQC-"&amp;TEXT(COUNTIF($G$3:G14,G14),"000"),IF(G14="HCGA","HCGA-"&amp;TEXT(COUNTIF($G$3:G14,G14),"000"),IF(G14="MAINTENANCE","MNT-"&amp;TEXT(COUNTIF($G$3:G14,G14),"000"),IF(G14="CIVIL","CIV-"&amp;TEXT(COUNTIF($G$3:G14,G14),"000"),IF(G14="GANIS","GAN-"&amp;TEXT(COUNTIF($G$3:G14,G14),"000"),IF(G14="ENGINEERING","ENG-"&amp;TEXT(COUNTIF($G$3:G14,G14),"000"),IF(G14="PRODUKSI","PRO-"&amp;TEXT(COUNTIF($G$3:G14,G14),"000"),IF(G14="SURVEY","SUR-"&amp;TEXT(COUNTIF($G$3:G14,G14),"000"),"")))))))))))</f>
        <v>EXP-012</v>
      </c>
      <c r="I14" s="2"/>
      <c r="J14" s="2"/>
    </row>
    <row r="15" spans="2:10" ht="15.5" customHeight="1">
      <c r="B15" s="4" t="s">
        <v>37</v>
      </c>
      <c r="C15" s="8" t="s">
        <v>27</v>
      </c>
      <c r="D15" s="47"/>
      <c r="E15" s="33" t="s">
        <v>14</v>
      </c>
      <c r="F15" s="34"/>
      <c r="G15" s="9" t="s">
        <v>10</v>
      </c>
      <c r="H15" s="1" t="str">
        <f>IF(G15="","",IF(G15="EKSPLORASI","EXP-"&amp;TEXT(COUNTIF($G$3:G15,G15),"000"),IF(G15="HSE","HSE-"&amp;TEXT(COUNTIF($G$3:G15,G15),"000"),IF(G15="QAQC","QAQC-"&amp;TEXT(COUNTIF($G$3:G15,G15),"000"),IF(G15="HCGA","HCGA-"&amp;TEXT(COUNTIF($G$3:G15,G15),"000"),IF(G15="MAINTENANCE","MNT-"&amp;TEXT(COUNTIF($G$3:G15,G15),"000"),IF(G15="CIVIL","CIV-"&amp;TEXT(COUNTIF($G$3:G15,G15),"000"),IF(G15="GANIS","GAN-"&amp;TEXT(COUNTIF($G$3:G15,G15),"000"),IF(G15="ENGINEERING","ENG-"&amp;TEXT(COUNTIF($G$3:G15,G15),"000"),IF(G15="PRODUKSI","PRO-"&amp;TEXT(COUNTIF($G$3:G15,G15),"000"),IF(G15="SURVEY","SUR-"&amp;TEXT(COUNTIF($G$3:G15,G15),"000"),"")))))))))))</f>
        <v>EXP-013</v>
      </c>
      <c r="I15" s="2"/>
      <c r="J15" s="2"/>
    </row>
    <row r="16" spans="2:10" ht="15.5" customHeight="1">
      <c r="B16" s="4" t="s">
        <v>39</v>
      </c>
      <c r="C16" s="7" t="s">
        <v>29</v>
      </c>
      <c r="D16" s="47"/>
      <c r="E16" s="33" t="s">
        <v>14</v>
      </c>
      <c r="F16" s="34"/>
      <c r="G16" s="9" t="s">
        <v>10</v>
      </c>
      <c r="H16" s="1" t="str">
        <f>IF(G16="","",IF(G16="EKSPLORASI","EXP-"&amp;TEXT(COUNTIF($G$3:G16,G16),"000"),IF(G16="HSE","HSE-"&amp;TEXT(COUNTIF($G$3:G16,G16),"000"),IF(G16="QAQC","QAQC-"&amp;TEXT(COUNTIF($G$3:G16,G16),"000"),IF(G16="HCGA","HCGA-"&amp;TEXT(COUNTIF($G$3:G16,G16),"000"),IF(G16="MAINTENANCE","MNT-"&amp;TEXT(COUNTIF($G$3:G16,G16),"000"),IF(G16="CIVIL","CIV-"&amp;TEXT(COUNTIF($G$3:G16,G16),"000"),IF(G16="GANIS","GAN-"&amp;TEXT(COUNTIF($G$3:G16,G16),"000"),IF(G16="ENGINEERING","ENG-"&amp;TEXT(COUNTIF($G$3:G16,G16),"000"),IF(G16="PRODUKSI","PRO-"&amp;TEXT(COUNTIF($G$3:G16,G16),"000"),IF(G16="SURVEY","SUR-"&amp;TEXT(COUNTIF($G$3:G16,G16),"000"),"")))))))))))</f>
        <v>EXP-014</v>
      </c>
      <c r="I16" s="2"/>
      <c r="J16" s="2"/>
    </row>
    <row r="17" spans="2:10" ht="15.5" customHeight="1">
      <c r="B17" s="4" t="s">
        <v>41</v>
      </c>
      <c r="C17" s="16" t="s">
        <v>436</v>
      </c>
      <c r="D17" s="46">
        <v>10000</v>
      </c>
      <c r="E17" s="33" t="s">
        <v>25</v>
      </c>
      <c r="F17" s="32"/>
      <c r="G17" s="2" t="s">
        <v>402</v>
      </c>
      <c r="H17" s="2" t="str">
        <f>IF(G17="","",IF(G17="EKSPLORASI","EXP-"&amp;TEXT(COUNTIF($G$3:G17,G17),"000"),IF(G17="HSE","HSE-"&amp;TEXT(COUNTIF($G$3:G17,G17),"000"),IF(G17="QAQC","QAQC-"&amp;TEXT(COUNTIF($G$3:G17,G17),"000"),IF(G17="HCGA","HCGA-"&amp;TEXT(COUNTIF($G$3:G17,G17),"000"),IF(G17="MAINTENANCE","MNT-"&amp;TEXT(COUNTIF($G$3:G17,G17),"000"),IF(G17="CIVIL","CIV-"&amp;TEXT(COUNTIF($G$3:G17,G17),"000"),IF(G17="GANIS","GAN-"&amp;TEXT(COUNTIF($G$3:G17,G17),"000"),IF(G17="ENGINEERING","ENG-"&amp;TEXT(COUNTIF($G$3:G17,G17),"000"),IF(G17="PRODUKSI","PRO-"&amp;TEXT(COUNTIF($G$3:G17,G17),"000"),IF(G17="SURVEY","SUR-"&amp;TEXT(COUNTIF($G$3:G17,G17),"000"),"")))))))))))</f>
        <v>CIV-001</v>
      </c>
      <c r="I17" s="3"/>
      <c r="J17" s="3"/>
    </row>
    <row r="18" spans="2:10" ht="15.5" customHeight="1">
      <c r="B18" s="4" t="s">
        <v>44</v>
      </c>
      <c r="C18" s="8" t="s">
        <v>33</v>
      </c>
      <c r="D18" s="47">
        <v>50000</v>
      </c>
      <c r="E18" s="33" t="s">
        <v>14</v>
      </c>
      <c r="F18" s="34" t="s">
        <v>1085</v>
      </c>
      <c r="G18" s="9" t="s">
        <v>10</v>
      </c>
      <c r="H18" s="1" t="str">
        <f>IF(G18="","",IF(G18="EKSPLORASI","EXP-"&amp;TEXT(COUNTIF($G$3:G18,G18),"000"),IF(G18="HSE","HSE-"&amp;TEXT(COUNTIF($G$3:G18,G18),"000"),IF(G18="QAQC","QAQC-"&amp;TEXT(COUNTIF($G$3:G18,G18),"000"),IF(G18="HCGA","HCGA-"&amp;TEXT(COUNTIF($G$3:G18,G18),"000"),IF(G18="MAINTENANCE","MNT-"&amp;TEXT(COUNTIF($G$3:G18,G18),"000"),IF(G18="CIVIL","CIV-"&amp;TEXT(COUNTIF($G$3:G18,G18),"000"),IF(G18="GANIS","GAN-"&amp;TEXT(COUNTIF($G$3:G18,G18),"000"),IF(G18="ENGINEERING","ENG-"&amp;TEXT(COUNTIF($G$3:G18,G18),"000"),IF(G18="PRODUKSI","PRO-"&amp;TEXT(COUNTIF($G$3:G18,G18),"000"),IF(G18="SURVEY","SUR-"&amp;TEXT(COUNTIF($G$3:G18,G18),"000"),"")))))))))))</f>
        <v>EXP-015</v>
      </c>
      <c r="I18" s="2"/>
      <c r="J18" s="2"/>
    </row>
    <row r="19" spans="2:10" ht="15.5" customHeight="1">
      <c r="B19" s="4" t="s">
        <v>47</v>
      </c>
      <c r="C19" s="7" t="s">
        <v>36</v>
      </c>
      <c r="D19" s="47">
        <v>160000</v>
      </c>
      <c r="E19" s="33" t="s">
        <v>14</v>
      </c>
      <c r="F19" s="34" t="s">
        <v>1086</v>
      </c>
      <c r="G19" s="9" t="s">
        <v>10</v>
      </c>
      <c r="H19" s="1" t="str">
        <f>IF(G19="","",IF(G19="EKSPLORASI","EXP-"&amp;TEXT(COUNTIF($G$3:G19,G19),"000"),IF(G19="HSE","HSE-"&amp;TEXT(COUNTIF($G$3:G19,G19),"000"),IF(G19="QAQC","QAQC-"&amp;TEXT(COUNTIF($G$3:G19,G19),"000"),IF(G19="HCGA","HCGA-"&amp;TEXT(COUNTIF($G$3:G19,G19),"000"),IF(G19="MAINTENANCE","MNT-"&amp;TEXT(COUNTIF($G$3:G19,G19),"000"),IF(G19="CIVIL","CIV-"&amp;TEXT(COUNTIF($G$3:G19,G19),"000"),IF(G19="GANIS","GAN-"&amp;TEXT(COUNTIF($G$3:G19,G19),"000"),IF(G19="ENGINEERING","ENG-"&amp;TEXT(COUNTIF($G$3:G19,G19),"000"),IF(G19="PRODUKSI","PRO-"&amp;TEXT(COUNTIF($G$3:G19,G19),"000"),IF(G19="SURVEY","SUR-"&amp;TEXT(COUNTIF($G$3:G19,G19),"000"),"")))))))))))</f>
        <v>EXP-016</v>
      </c>
      <c r="I19" s="2"/>
      <c r="J19" s="2"/>
    </row>
    <row r="20" spans="2:10" ht="15.5" customHeight="1">
      <c r="B20" s="4" t="s">
        <v>49</v>
      </c>
      <c r="C20" s="7" t="s">
        <v>38</v>
      </c>
      <c r="D20" s="47">
        <v>30000</v>
      </c>
      <c r="E20" s="33" t="s">
        <v>14</v>
      </c>
      <c r="F20" s="34" t="s">
        <v>1084</v>
      </c>
      <c r="G20" s="9" t="s">
        <v>10</v>
      </c>
      <c r="H20" s="1" t="str">
        <f>IF(G20="","",IF(G20="EKSPLORASI","EXP-"&amp;TEXT(COUNTIF($G$3:G20,G20),"000"),IF(G20="HSE","HSE-"&amp;TEXT(COUNTIF($G$3:G20,G20),"000"),IF(G20="QAQC","QAQC-"&amp;TEXT(COUNTIF($G$3:G20,G20),"000"),IF(G20="HCGA","HCGA-"&amp;TEXT(COUNTIF($G$3:G20,G20),"000"),IF(G20="MAINTENANCE","MNT-"&amp;TEXT(COUNTIF($G$3:G20,G20),"000"),IF(G20="CIVIL","CIV-"&amp;TEXT(COUNTIF($G$3:G20,G20),"000"),IF(G20="GANIS","GAN-"&amp;TEXT(COUNTIF($G$3:G20,G20),"000"),IF(G20="ENGINEERING","ENG-"&amp;TEXT(COUNTIF($G$3:G20,G20),"000"),IF(G20="PRODUKSI","PRO-"&amp;TEXT(COUNTIF($G$3:G20,G20),"000"),IF(G20="SURVEY","SUR-"&amp;TEXT(COUNTIF($G$3:G20,G20),"000"),"")))))))))))</f>
        <v>EXP-017</v>
      </c>
      <c r="I20" s="2"/>
      <c r="J20" s="2"/>
    </row>
    <row r="21" spans="2:10" ht="15.5" customHeight="1">
      <c r="B21" s="4" t="s">
        <v>51</v>
      </c>
      <c r="C21" s="7" t="s">
        <v>40</v>
      </c>
      <c r="D21" s="47">
        <v>1000000</v>
      </c>
      <c r="E21" s="33" t="s">
        <v>14</v>
      </c>
      <c r="F21" s="34" t="s">
        <v>1088</v>
      </c>
      <c r="G21" s="9" t="s">
        <v>10</v>
      </c>
      <c r="H21" s="1" t="str">
        <f>IF(G21="","",IF(G21="EKSPLORASI","EXP-"&amp;TEXT(COUNTIF($G$3:G21,G21),"000"),IF(G21="HSE","HSE-"&amp;TEXT(COUNTIF($G$3:G21,G21),"000"),IF(G21="QAQC","QAQC-"&amp;TEXT(COUNTIF($G$3:G21,G21),"000"),IF(G21="HCGA","HCGA-"&amp;TEXT(COUNTIF($G$3:G21,G21),"000"),IF(G21="MAINTENANCE","MNT-"&amp;TEXT(COUNTIF($G$3:G21,G21),"000"),IF(G21="CIVIL","CIV-"&amp;TEXT(COUNTIF($G$3:G21,G21),"000"),IF(G21="GANIS","GAN-"&amp;TEXT(COUNTIF($G$3:G21,G21),"000"),IF(G21="ENGINEERING","ENG-"&amp;TEXT(COUNTIF($G$3:G21,G21),"000"),IF(G21="PRODUKSI","PRO-"&amp;TEXT(COUNTIF($G$3:G21,G21),"000"),IF(G21="SURVEY","SUR-"&amp;TEXT(COUNTIF($G$3:G21,G21),"000"),"")))))))))))</f>
        <v>EXP-018</v>
      </c>
      <c r="I21" s="2"/>
      <c r="J21" s="2"/>
    </row>
    <row r="22" spans="2:10" ht="15.5" customHeight="1">
      <c r="B22" s="4" t="s">
        <v>53</v>
      </c>
      <c r="C22" s="7" t="s">
        <v>42</v>
      </c>
      <c r="D22" s="47"/>
      <c r="E22" s="33" t="s">
        <v>46</v>
      </c>
      <c r="F22" s="34"/>
      <c r="G22" s="9" t="s">
        <v>10</v>
      </c>
      <c r="H22" s="1" t="str">
        <f>IF(G22="","",IF(G22="EKSPLORASI","EXP-"&amp;TEXT(COUNTIF($G$3:G22,G22),"000"),IF(G22="HSE","HSE-"&amp;TEXT(COUNTIF($G$3:G22,G22),"000"),IF(G22="QAQC","QAQC-"&amp;TEXT(COUNTIF($G$3:G22,G22),"000"),IF(G22="HCGA","HCGA-"&amp;TEXT(COUNTIF($G$3:G22,G22),"000"),IF(G22="MAINTENANCE","MNT-"&amp;TEXT(COUNTIF($G$3:G22,G22),"000"),IF(G22="CIVIL","CIV-"&amp;TEXT(COUNTIF($G$3:G22,G22),"000"),IF(G22="GANIS","GAN-"&amp;TEXT(COUNTIF($G$3:G22,G22),"000"),IF(G22="ENGINEERING","ENG-"&amp;TEXT(COUNTIF($G$3:G22,G22),"000"),IF(G22="PRODUKSI","PRO-"&amp;TEXT(COUNTIF($G$3:G22,G22),"000"),IF(G22="SURVEY","SUR-"&amp;TEXT(COUNTIF($G$3:G22,G22),"000"),"")))))))))))</f>
        <v>EXP-019</v>
      </c>
      <c r="I22" s="2"/>
      <c r="J22" s="2"/>
    </row>
    <row r="23" spans="2:10" ht="15.5" customHeight="1">
      <c r="B23" s="4" t="s">
        <v>55</v>
      </c>
      <c r="C23" s="7" t="s">
        <v>45</v>
      </c>
      <c r="D23" s="47"/>
      <c r="E23" s="33" t="s">
        <v>46</v>
      </c>
      <c r="F23" s="34"/>
      <c r="G23" s="9" t="s">
        <v>10</v>
      </c>
      <c r="H23" s="1" t="str">
        <f>IF(G23="","",IF(G23="EKSPLORASI","EXP-"&amp;TEXT(COUNTIF($G$3:G23,G23),"000"),IF(G23="HSE","HSE-"&amp;TEXT(COUNTIF($G$3:G23,G23),"000"),IF(G23="QAQC","QAQC-"&amp;TEXT(COUNTIF($G$3:G23,G23),"000"),IF(G23="HCGA","HCGA-"&amp;TEXT(COUNTIF($G$3:G23,G23),"000"),IF(G23="MAINTENANCE","MNT-"&amp;TEXT(COUNTIF($G$3:G23,G23),"000"),IF(G23="CIVIL","CIV-"&amp;TEXT(COUNTIF($G$3:G23,G23),"000"),IF(G23="GANIS","GAN-"&amp;TEXT(COUNTIF($G$3:G23,G23),"000"),IF(G23="ENGINEERING","ENG-"&amp;TEXT(COUNTIF($G$3:G23,G23),"000"),IF(G23="PRODUKSI","PRO-"&amp;TEXT(COUNTIF($G$3:G23,G23),"000"),IF(G23="SURVEY","SUR-"&amp;TEXT(COUNTIF($G$3:G23,G23),"000"),"")))))))))))</f>
        <v>EXP-020</v>
      </c>
      <c r="I23" s="2"/>
      <c r="J23" s="2"/>
    </row>
    <row r="24" spans="2:10" ht="15.5" customHeight="1">
      <c r="B24" s="4" t="s">
        <v>57</v>
      </c>
      <c r="C24" s="7" t="s">
        <v>48</v>
      </c>
      <c r="D24" s="47"/>
      <c r="E24" s="33" t="s">
        <v>14</v>
      </c>
      <c r="F24" s="34"/>
      <c r="G24" s="9" t="s">
        <v>10</v>
      </c>
      <c r="H24" s="1" t="str">
        <f>IF(G24="","",IF(G24="EKSPLORASI","EXP-"&amp;TEXT(COUNTIF($G$3:G24,G24),"000"),IF(G24="HSE","HSE-"&amp;TEXT(COUNTIF($G$3:G24,G24),"000"),IF(G24="QAQC","QAQC-"&amp;TEXT(COUNTIF($G$3:G24,G24),"000"),IF(G24="HCGA","HCGA-"&amp;TEXT(COUNTIF($G$3:G24,G24),"000"),IF(G24="MAINTENANCE","MNT-"&amp;TEXT(COUNTIF($G$3:G24,G24),"000"),IF(G24="CIVIL","CIV-"&amp;TEXT(COUNTIF($G$3:G24,G24),"000"),IF(G24="GANIS","GAN-"&amp;TEXT(COUNTIF($G$3:G24,G24),"000"),IF(G24="ENGINEERING","ENG-"&amp;TEXT(COUNTIF($G$3:G24,G24),"000"),IF(G24="PRODUKSI","PRO-"&amp;TEXT(COUNTIF($G$3:G24,G24),"000"),IF(G24="SURVEY","SUR-"&amp;TEXT(COUNTIF($G$3:G24,G24),"000"),"")))))))))))</f>
        <v>EXP-021</v>
      </c>
      <c r="I24" s="2"/>
      <c r="J24" s="2"/>
    </row>
    <row r="25" spans="2:10" ht="15.5" customHeight="1">
      <c r="B25" s="4" t="s">
        <v>59</v>
      </c>
      <c r="C25" s="7" t="s">
        <v>50</v>
      </c>
      <c r="D25" s="47">
        <v>15000</v>
      </c>
      <c r="E25" s="33" t="s">
        <v>14</v>
      </c>
      <c r="F25" s="34"/>
      <c r="G25" s="9" t="s">
        <v>10</v>
      </c>
      <c r="H25" s="1" t="str">
        <f>IF(G25="","",IF(G25="EKSPLORASI","EXP-"&amp;TEXT(COUNTIF($G$3:G25,G25),"000"),IF(G25="HSE","HSE-"&amp;TEXT(COUNTIF($G$3:G25,G25),"000"),IF(G25="QAQC","QAQC-"&amp;TEXT(COUNTIF($G$3:G25,G25),"000"),IF(G25="HCGA","HCGA-"&amp;TEXT(COUNTIF($G$3:G25,G25),"000"),IF(G25="MAINTENANCE","MNT-"&amp;TEXT(COUNTIF($G$3:G25,G25),"000"),IF(G25="CIVIL","CIV-"&amp;TEXT(COUNTIF($G$3:G25,G25),"000"),IF(G25="GANIS","GAN-"&amp;TEXT(COUNTIF($G$3:G25,G25),"000"),IF(G25="ENGINEERING","ENG-"&amp;TEXT(COUNTIF($G$3:G25,G25),"000"),IF(G25="PRODUKSI","PRO-"&amp;TEXT(COUNTIF($G$3:G25,G25),"000"),IF(G25="SURVEY","SUR-"&amp;TEXT(COUNTIF($G$3:G25,G25),"000"),"")))))))))))</f>
        <v>EXP-022</v>
      </c>
      <c r="I25" s="2"/>
      <c r="J25" s="2"/>
    </row>
    <row r="26" spans="2:10" ht="15.5" customHeight="1">
      <c r="B26" s="4" t="s">
        <v>61</v>
      </c>
      <c r="C26" s="7" t="s">
        <v>52</v>
      </c>
      <c r="D26" s="47">
        <v>30000</v>
      </c>
      <c r="E26" s="33" t="s">
        <v>14</v>
      </c>
      <c r="F26" s="34" t="s">
        <v>1087</v>
      </c>
      <c r="G26" s="9" t="s">
        <v>10</v>
      </c>
      <c r="H26" s="1" t="str">
        <f>IF(G26="","",IF(G26="EKSPLORASI","EXP-"&amp;TEXT(COUNTIF($G$3:G26,G26),"000"),IF(G26="HSE","HSE-"&amp;TEXT(COUNTIF($G$3:G26,G26),"000"),IF(G26="QAQC","QAQC-"&amp;TEXT(COUNTIF($G$3:G26,G26),"000"),IF(G26="HCGA","HCGA-"&amp;TEXT(COUNTIF($G$3:G26,G26),"000"),IF(G26="MAINTENANCE","MNT-"&amp;TEXT(COUNTIF($G$3:G26,G26),"000"),IF(G26="CIVIL","CIV-"&amp;TEXT(COUNTIF($G$3:G26,G26),"000"),IF(G26="GANIS","GAN-"&amp;TEXT(COUNTIF($G$3:G26,G26),"000"),IF(G26="ENGINEERING","ENG-"&amp;TEXT(COUNTIF($G$3:G26,G26),"000"),IF(G26="PRODUKSI","PRO-"&amp;TEXT(COUNTIF($G$3:G26,G26),"000"),IF(G26="SURVEY","SUR-"&amp;TEXT(COUNTIF($G$3:G26,G26),"000"),"")))))))))))</f>
        <v>EXP-023</v>
      </c>
      <c r="I26" s="2"/>
      <c r="J26" s="2"/>
    </row>
    <row r="27" spans="2:10" ht="15.5" customHeight="1">
      <c r="B27" s="4" t="s">
        <v>64</v>
      </c>
      <c r="C27" s="7" t="s">
        <v>54</v>
      </c>
      <c r="D27" s="47">
        <v>350000</v>
      </c>
      <c r="E27" s="33" t="s">
        <v>56</v>
      </c>
      <c r="F27" s="34"/>
      <c r="G27" s="9" t="s">
        <v>10</v>
      </c>
      <c r="H27" s="1" t="str">
        <f>IF(G27="","",IF(G27="EKSPLORASI","EXP-"&amp;TEXT(COUNTIF($G$3:G27,G27),"000"),IF(G27="HSE","HSE-"&amp;TEXT(COUNTIF($G$3:G27,G27),"000"),IF(G27="QAQC","QAQC-"&amp;TEXT(COUNTIF($G$3:G27,G27),"000"),IF(G27="HCGA","HCGA-"&amp;TEXT(COUNTIF($G$3:G27,G27),"000"),IF(G27="MAINTENANCE","MNT-"&amp;TEXT(COUNTIF($G$3:G27,G27),"000"),IF(G27="CIVIL","CIV-"&amp;TEXT(COUNTIF($G$3:G27,G27),"000"),IF(G27="GANIS","GAN-"&amp;TEXT(COUNTIF($G$3:G27,G27),"000"),IF(G27="ENGINEERING","ENG-"&amp;TEXT(COUNTIF($G$3:G27,G27),"000"),IF(G27="PRODUKSI","PRO-"&amp;TEXT(COUNTIF($G$3:G27,G27),"000"),IF(G27="SURVEY","SUR-"&amp;TEXT(COUNTIF($G$3:G27,G27),"000"),"")))))))))))</f>
        <v>EXP-024</v>
      </c>
      <c r="I27" s="2"/>
      <c r="J27" s="2"/>
    </row>
    <row r="28" spans="2:10" ht="15.5" customHeight="1">
      <c r="B28" s="4" t="s">
        <v>66</v>
      </c>
      <c r="C28" s="7" t="s">
        <v>1160</v>
      </c>
      <c r="D28" s="47">
        <v>2500000</v>
      </c>
      <c r="E28" s="33" t="s">
        <v>14</v>
      </c>
      <c r="F28" s="34" t="s">
        <v>1084</v>
      </c>
      <c r="G28" s="9" t="s">
        <v>10</v>
      </c>
      <c r="H28" s="1" t="str">
        <f>IF(G28="","",IF(G28="EKSPLORASI","EXP-"&amp;TEXT(COUNTIF($G$3:G28,G28),"000"),IF(G28="HSE","HSE-"&amp;TEXT(COUNTIF($G$3:G28,G28),"000"),IF(G28="QAQC","QAQC-"&amp;TEXT(COUNTIF($G$3:G28,G28),"000"),IF(G28="HCGA","HCGA-"&amp;TEXT(COUNTIF($G$3:G28,G28),"000"),IF(G28="MAINTENANCE","MNT-"&amp;TEXT(COUNTIF($G$3:G28,G28),"000"),IF(G28="CIVIL","CIV-"&amp;TEXT(COUNTIF($G$3:G28,G28),"000"),IF(G28="GANIS","GAN-"&amp;TEXT(COUNTIF($G$3:G28,G28),"000"),IF(G28="ENGINEERING","ENG-"&amp;TEXT(COUNTIF($G$3:G28,G28),"000"),IF(G28="PRODUKSI","PRO-"&amp;TEXT(COUNTIF($G$3:G28,G28),"000"),IF(G28="SURVEY","SUR-"&amp;TEXT(COUNTIF($G$3:G28,G28),"000"),"")))))))))))</f>
        <v>EXP-025</v>
      </c>
      <c r="I28" s="2"/>
      <c r="J28" s="2"/>
    </row>
    <row r="29" spans="2:10" ht="15.5" customHeight="1">
      <c r="B29" s="4" t="s">
        <v>68</v>
      </c>
      <c r="C29" s="7" t="s">
        <v>58</v>
      </c>
      <c r="D29" s="47">
        <v>35000</v>
      </c>
      <c r="E29" s="33" t="s">
        <v>14</v>
      </c>
      <c r="F29" s="34"/>
      <c r="G29" s="9" t="s">
        <v>10</v>
      </c>
      <c r="H29" s="1" t="str">
        <f>IF(G29="","",IF(G29="EKSPLORASI","EXP-"&amp;TEXT(COUNTIF($G$3:G29,G29),"000"),IF(G29="HSE","HSE-"&amp;TEXT(COUNTIF($G$3:G29,G29),"000"),IF(G29="QAQC","QAQC-"&amp;TEXT(COUNTIF($G$3:G29,G29),"000"),IF(G29="HCGA","HCGA-"&amp;TEXT(COUNTIF($G$3:G29,G29),"000"),IF(G29="MAINTENANCE","MNT-"&amp;TEXT(COUNTIF($G$3:G29,G29),"000"),IF(G29="CIVIL","CIV-"&amp;TEXT(COUNTIF($G$3:G29,G29),"000"),IF(G29="GANIS","GAN-"&amp;TEXT(COUNTIF($G$3:G29,G29),"000"),IF(G29="ENGINEERING","ENG-"&amp;TEXT(COUNTIF($G$3:G29,G29),"000"),IF(G29="PRODUKSI","PRO-"&amp;TEXT(COUNTIF($G$3:G29,G29),"000"),IF(G29="SURVEY","SUR-"&amp;TEXT(COUNTIF($G$3:G29,G29),"000"),"")))))))))))</f>
        <v>EXP-026</v>
      </c>
      <c r="I29" s="2"/>
      <c r="J29" s="2"/>
    </row>
    <row r="30" spans="2:10" ht="15.5" customHeight="1">
      <c r="B30" s="4" t="s">
        <v>70</v>
      </c>
      <c r="C30" s="7" t="s">
        <v>60</v>
      </c>
      <c r="D30" s="47">
        <v>180000</v>
      </c>
      <c r="E30" s="33" t="s">
        <v>63</v>
      </c>
      <c r="F30" s="34" t="s">
        <v>1086</v>
      </c>
      <c r="G30" s="9" t="s">
        <v>10</v>
      </c>
      <c r="H30" s="1" t="str">
        <f>IF(G30="","",IF(G30="EKSPLORASI","EXP-"&amp;TEXT(COUNTIF($G$3:G30,G30),"000"),IF(G30="HSE","HSE-"&amp;TEXT(COUNTIF($G$3:G30,G30),"000"),IF(G30="QAQC","QAQC-"&amp;TEXT(COUNTIF($G$3:G30,G30),"000"),IF(G30="HCGA","HCGA-"&amp;TEXT(COUNTIF($G$3:G30,G30),"000"),IF(G30="MAINTENANCE","MNT-"&amp;TEXT(COUNTIF($G$3:G30,G30),"000"),IF(G30="CIVIL","CIV-"&amp;TEXT(COUNTIF($G$3:G30,G30),"000"),IF(G30="GANIS","GAN-"&amp;TEXT(COUNTIF($G$3:G30,G30),"000"),IF(G30="ENGINEERING","ENG-"&amp;TEXT(COUNTIF($G$3:G30,G30),"000"),IF(G30="PRODUKSI","PRO-"&amp;TEXT(COUNTIF($G$3:G30,G30),"000"),IF(G30="SURVEY","SUR-"&amp;TEXT(COUNTIF($G$3:G30,G30),"000"),"")))))))))))</f>
        <v>EXP-027</v>
      </c>
      <c r="I30" s="2"/>
      <c r="J30" s="2"/>
    </row>
    <row r="31" spans="2:10" ht="15.5" customHeight="1">
      <c r="B31" s="4" t="s">
        <v>72</v>
      </c>
      <c r="C31" s="7" t="s">
        <v>62</v>
      </c>
      <c r="D31" s="47"/>
      <c r="E31" s="33" t="s">
        <v>63</v>
      </c>
      <c r="F31" s="34"/>
      <c r="G31" s="9" t="s">
        <v>10</v>
      </c>
      <c r="H31" s="1" t="str">
        <f>IF(G31="","",IF(G31="EKSPLORASI","EXP-"&amp;TEXT(COUNTIF($G$3:G31,G31),"000"),IF(G31="HSE","HSE-"&amp;TEXT(COUNTIF($G$3:G31,G31),"000"),IF(G31="QAQC","QAQC-"&amp;TEXT(COUNTIF($G$3:G31,G31),"000"),IF(G31="HCGA","HCGA-"&amp;TEXT(COUNTIF($G$3:G31,G31),"000"),IF(G31="MAINTENANCE","MNT-"&amp;TEXT(COUNTIF($G$3:G31,G31),"000"),IF(G31="CIVIL","CIV-"&amp;TEXT(COUNTIF($G$3:G31,G31),"000"),IF(G31="GANIS","GAN-"&amp;TEXT(COUNTIF($G$3:G31,G31),"000"),IF(G31="ENGINEERING","ENG-"&amp;TEXT(COUNTIF($G$3:G31,G31),"000"),IF(G31="PRODUKSI","PRO-"&amp;TEXT(COUNTIF($G$3:G31,G31),"000"),IF(G31="SURVEY","SUR-"&amp;TEXT(COUNTIF($G$3:G31,G31),"000"),"")))))))))))</f>
        <v>EXP-028</v>
      </c>
      <c r="I31" s="2"/>
      <c r="J31" s="2"/>
    </row>
    <row r="32" spans="2:10" ht="15.5" customHeight="1">
      <c r="B32" s="4" t="s">
        <v>75</v>
      </c>
      <c r="C32" s="7" t="s">
        <v>65</v>
      </c>
      <c r="D32" s="47"/>
      <c r="E32" s="33" t="s">
        <v>14</v>
      </c>
      <c r="F32" s="34"/>
      <c r="G32" s="9" t="s">
        <v>10</v>
      </c>
      <c r="H32" s="1" t="str">
        <f>IF(G32="","",IF(G32="EKSPLORASI","EXP-"&amp;TEXT(COUNTIF($G$3:G32,G32),"000"),IF(G32="HSE","HSE-"&amp;TEXT(COUNTIF($G$3:G32,G32),"000"),IF(G32="QAQC","QAQC-"&amp;TEXT(COUNTIF($G$3:G32,G32),"000"),IF(G32="HCGA","HCGA-"&amp;TEXT(COUNTIF($G$3:G32,G32),"000"),IF(G32="MAINTENANCE","MNT-"&amp;TEXT(COUNTIF($G$3:G32,G32),"000"),IF(G32="CIVIL","CIV-"&amp;TEXT(COUNTIF($G$3:G32,G32),"000"),IF(G32="GANIS","GAN-"&amp;TEXT(COUNTIF($G$3:G32,G32),"000"),IF(G32="ENGINEERING","ENG-"&amp;TEXT(COUNTIF($G$3:G32,G32),"000"),IF(G32="PRODUKSI","PRO-"&amp;TEXT(COUNTIF($G$3:G32,G32),"000"),IF(G32="SURVEY","SUR-"&amp;TEXT(COUNTIF($G$3:G32,G32),"000"),"")))))))))))</f>
        <v>EXP-029</v>
      </c>
      <c r="I32" s="2"/>
      <c r="J32" s="2"/>
    </row>
    <row r="33" spans="2:10" ht="15.5" customHeight="1">
      <c r="B33" s="4" t="s">
        <v>77</v>
      </c>
      <c r="C33" s="7" t="s">
        <v>67</v>
      </c>
      <c r="D33" s="47"/>
      <c r="E33" s="33" t="s">
        <v>14</v>
      </c>
      <c r="F33" s="34"/>
      <c r="G33" s="9" t="s">
        <v>10</v>
      </c>
      <c r="H33" s="1" t="str">
        <f>IF(G33="","",IF(G33="EKSPLORASI","EXP-"&amp;TEXT(COUNTIF($G$3:G33,G33),"000"),IF(G33="HSE","HSE-"&amp;TEXT(COUNTIF($G$3:G33,G33),"000"),IF(G33="QAQC","QAQC-"&amp;TEXT(COUNTIF($G$3:G33,G33),"000"),IF(G33="HCGA","HCGA-"&amp;TEXT(COUNTIF($G$3:G33,G33),"000"),IF(G33="MAINTENANCE","MNT-"&amp;TEXT(COUNTIF($G$3:G33,G33),"000"),IF(G33="CIVIL","CIV-"&amp;TEXT(COUNTIF($G$3:G33,G33),"000"),IF(G33="GANIS","GAN-"&amp;TEXT(COUNTIF($G$3:G33,G33),"000"),IF(G33="ENGINEERING","ENG-"&amp;TEXT(COUNTIF($G$3:G33,G33),"000"),IF(G33="PRODUKSI","PRO-"&amp;TEXT(COUNTIF($G$3:G33,G33),"000"),IF(G33="SURVEY","SUR-"&amp;TEXT(COUNTIF($G$3:G33,G33),"000"),"")))))))))))</f>
        <v>EXP-030</v>
      </c>
      <c r="I33" s="2"/>
      <c r="J33" s="2"/>
    </row>
    <row r="34" spans="2:10" ht="15.5" customHeight="1">
      <c r="B34" s="4" t="s">
        <v>80</v>
      </c>
      <c r="C34" s="7" t="s">
        <v>69</v>
      </c>
      <c r="D34" s="47"/>
      <c r="E34" s="33" t="s">
        <v>14</v>
      </c>
      <c r="F34" s="34"/>
      <c r="G34" s="9" t="s">
        <v>10</v>
      </c>
      <c r="H34" s="1" t="str">
        <f>IF(G34="","",IF(G34="EKSPLORASI","EXP-"&amp;TEXT(COUNTIF($G$3:G34,G34),"000"),IF(G34="HSE","HSE-"&amp;TEXT(COUNTIF($G$3:G34,G34),"000"),IF(G34="QAQC","QAQC-"&amp;TEXT(COUNTIF($G$3:G34,G34),"000"),IF(G34="HCGA","HCGA-"&amp;TEXT(COUNTIF($G$3:G34,G34),"000"),IF(G34="MAINTENANCE","MNT-"&amp;TEXT(COUNTIF($G$3:G34,G34),"000"),IF(G34="CIVIL","CIV-"&amp;TEXT(COUNTIF($G$3:G34,G34),"000"),IF(G34="GANIS","GAN-"&amp;TEXT(COUNTIF($G$3:G34,G34),"000"),IF(G34="ENGINEERING","ENG-"&amp;TEXT(COUNTIF($G$3:G34,G34),"000"),IF(G34="PRODUKSI","PRO-"&amp;TEXT(COUNTIF($G$3:G34,G34),"000"),IF(G34="SURVEY","SUR-"&amp;TEXT(COUNTIF($G$3:G34,G34),"000"),"")))))))))))</f>
        <v>EXP-031</v>
      </c>
      <c r="I34" s="2"/>
      <c r="J34" s="2"/>
    </row>
    <row r="35" spans="2:10" ht="15.5" customHeight="1">
      <c r="B35" s="4" t="s">
        <v>82</v>
      </c>
      <c r="C35" s="7" t="s">
        <v>71</v>
      </c>
      <c r="D35" s="47">
        <v>3650000</v>
      </c>
      <c r="E35" s="33" t="s">
        <v>74</v>
      </c>
      <c r="F35" s="34" t="s">
        <v>1088</v>
      </c>
      <c r="G35" s="9" t="s">
        <v>10</v>
      </c>
      <c r="H35" s="1" t="str">
        <f>IF(G35="","",IF(G35="EKSPLORASI","EXP-"&amp;TEXT(COUNTIF($G$3:G35,G35),"000"),IF(G35="HSE","HSE-"&amp;TEXT(COUNTIF($G$3:G35,G35),"000"),IF(G35="QAQC","QAQC-"&amp;TEXT(COUNTIF($G$3:G35,G35),"000"),IF(G35="HCGA","HCGA-"&amp;TEXT(COUNTIF($G$3:G35,G35),"000"),IF(G35="MAINTENANCE","MNT-"&amp;TEXT(COUNTIF($G$3:G35,G35),"000"),IF(G35="CIVIL","CIV-"&amp;TEXT(COUNTIF($G$3:G35,G35),"000"),IF(G35="GANIS","GAN-"&amp;TEXT(COUNTIF($G$3:G35,G35),"000"),IF(G35="ENGINEERING","ENG-"&amp;TEXT(COUNTIF($G$3:G35,G35),"000"),IF(G35="PRODUKSI","PRO-"&amp;TEXT(COUNTIF($G$3:G35,G35),"000"),IF(G35="SURVEY","SUR-"&amp;TEXT(COUNTIF($G$3:G35,G35),"000"),"")))))))))))</f>
        <v>EXP-032</v>
      </c>
      <c r="I35" s="2"/>
      <c r="J35" s="2"/>
    </row>
    <row r="36" spans="2:10" ht="15.5" customHeight="1">
      <c r="B36" s="4" t="s">
        <v>85</v>
      </c>
      <c r="C36" s="7" t="s">
        <v>73</v>
      </c>
      <c r="D36" s="47">
        <v>20000</v>
      </c>
      <c r="E36" s="33" t="s">
        <v>63</v>
      </c>
      <c r="F36" s="34" t="s">
        <v>1089</v>
      </c>
      <c r="G36" s="9" t="s">
        <v>10</v>
      </c>
      <c r="H36" s="1" t="str">
        <f>IF(G36="","",IF(G36="EKSPLORASI","EXP-"&amp;TEXT(COUNTIF($G$3:G36,G36),"000"),IF(G36="HSE","HSE-"&amp;TEXT(COUNTIF($G$3:G36,G36),"000"),IF(G36="QAQC","QAQC-"&amp;TEXT(COUNTIF($G$3:G36,G36),"000"),IF(G36="HCGA","HCGA-"&amp;TEXT(COUNTIF($G$3:G36,G36),"000"),IF(G36="MAINTENANCE","MNT-"&amp;TEXT(COUNTIF($G$3:G36,G36),"000"),IF(G36="CIVIL","CIV-"&amp;TEXT(COUNTIF($G$3:G36,G36),"000"),IF(G36="GANIS","GAN-"&amp;TEXT(COUNTIF($G$3:G36,G36),"000"),IF(G36="ENGINEERING","ENG-"&amp;TEXT(COUNTIF($G$3:G36,G36),"000"),IF(G36="PRODUKSI","PRO-"&amp;TEXT(COUNTIF($G$3:G36,G36),"000"),IF(G36="SURVEY","SUR-"&amp;TEXT(COUNTIF($G$3:G36,G36),"000"),"")))))))))))</f>
        <v>EXP-033</v>
      </c>
      <c r="I36" s="2"/>
      <c r="J36" s="2"/>
    </row>
    <row r="37" spans="2:10" ht="15.5" customHeight="1">
      <c r="B37" s="4" t="s">
        <v>88</v>
      </c>
      <c r="C37" s="7" t="s">
        <v>76</v>
      </c>
      <c r="D37" s="47"/>
      <c r="E37" s="33" t="s">
        <v>11</v>
      </c>
      <c r="F37" s="34"/>
      <c r="G37" s="9" t="s">
        <v>10</v>
      </c>
      <c r="H37" s="1" t="str">
        <f>IF(G37="","",IF(G37="EKSPLORASI","EXP-"&amp;TEXT(COUNTIF($G$3:G37,G37),"000"),IF(G37="HSE","HSE-"&amp;TEXT(COUNTIF($G$3:G37,G37),"000"),IF(G37="QAQC","QAQC-"&amp;TEXT(COUNTIF($G$3:G37,G37),"000"),IF(G37="HCGA","HCGA-"&amp;TEXT(COUNTIF($G$3:G37,G37),"000"),IF(G37="MAINTENANCE","MNT-"&amp;TEXT(COUNTIF($G$3:G37,G37),"000"),IF(G37="CIVIL","CIV-"&amp;TEXT(COUNTIF($G$3:G37,G37),"000"),IF(G37="GANIS","GAN-"&amp;TEXT(COUNTIF($G$3:G37,G37),"000"),IF(G37="ENGINEERING","ENG-"&amp;TEXT(COUNTIF($G$3:G37,G37),"000"),IF(G37="PRODUKSI","PRO-"&amp;TEXT(COUNTIF($G$3:G37,G37),"000"),IF(G37="SURVEY","SUR-"&amp;TEXT(COUNTIF($G$3:G37,G37),"000"),"")))))))))))</f>
        <v>EXP-034</v>
      </c>
      <c r="I37" s="2"/>
      <c r="J37" s="2"/>
    </row>
    <row r="38" spans="2:10" ht="15.5" customHeight="1">
      <c r="B38" s="4" t="s">
        <v>90</v>
      </c>
      <c r="C38" s="7" t="s">
        <v>78</v>
      </c>
      <c r="D38" s="47">
        <v>60000</v>
      </c>
      <c r="E38" s="33" t="s">
        <v>79</v>
      </c>
      <c r="F38" s="34" t="s">
        <v>1162</v>
      </c>
      <c r="G38" s="9" t="s">
        <v>10</v>
      </c>
      <c r="H38" s="1" t="str">
        <f>IF(G38="","",IF(G38="EKSPLORASI","EXP-"&amp;TEXT(COUNTIF($G$3:G38,G38),"000"),IF(G38="HSE","HSE-"&amp;TEXT(COUNTIF($G$3:G38,G38),"000"),IF(G38="QAQC","QAQC-"&amp;TEXT(COUNTIF($G$3:G38,G38),"000"),IF(G38="HCGA","HCGA-"&amp;TEXT(COUNTIF($G$3:G38,G38),"000"),IF(G38="MAINTENANCE","MNT-"&amp;TEXT(COUNTIF($G$3:G38,G38),"000"),IF(G38="CIVIL","CIV-"&amp;TEXT(COUNTIF($G$3:G38,G38),"000"),IF(G38="GANIS","GAN-"&amp;TEXT(COUNTIF($G$3:G38,G38),"000"),IF(G38="ENGINEERING","ENG-"&amp;TEXT(COUNTIF($G$3:G38,G38),"000"),IF(G38="PRODUKSI","PRO-"&amp;TEXT(COUNTIF($G$3:G38,G38),"000"),IF(G38="SURVEY","SUR-"&amp;TEXT(COUNTIF($G$3:G38,G38),"000"),"")))))))))))</f>
        <v>EXP-035</v>
      </c>
      <c r="I38" s="28"/>
      <c r="J38" s="2"/>
    </row>
    <row r="39" spans="2:10" ht="15.5" customHeight="1">
      <c r="B39" s="4" t="s">
        <v>92</v>
      </c>
      <c r="C39" s="7" t="s">
        <v>81</v>
      </c>
      <c r="D39" s="47">
        <v>60000</v>
      </c>
      <c r="E39" s="33" t="s">
        <v>84</v>
      </c>
      <c r="F39" s="34" t="s">
        <v>1162</v>
      </c>
      <c r="G39" s="9" t="s">
        <v>10</v>
      </c>
      <c r="H39" s="1" t="str">
        <f>IF(G39="","",IF(G39="EKSPLORASI","EXP-"&amp;TEXT(COUNTIF($G$3:G39,G39),"000"),IF(G39="HSE","HSE-"&amp;TEXT(COUNTIF($G$3:G39,G39),"000"),IF(G39="QAQC","QAQC-"&amp;TEXT(COUNTIF($G$3:G39,G39),"000"),IF(G39="HCGA","HCGA-"&amp;TEXT(COUNTIF($G$3:G39,G39),"000"),IF(G39="MAINTENANCE","MNT-"&amp;TEXT(COUNTIF($G$3:G39,G39),"000"),IF(G39="CIVIL","CIV-"&amp;TEXT(COUNTIF($G$3:G39,G39),"000"),IF(G39="GANIS","GAN-"&amp;TEXT(COUNTIF($G$3:G39,G39),"000"),IF(G39="ENGINEERING","ENG-"&amp;TEXT(COUNTIF($G$3:G39,G39),"000"),IF(G39="PRODUKSI","PRO-"&amp;TEXT(COUNTIF($G$3:G39,G39),"000"),IF(G39="SURVEY","SUR-"&amp;TEXT(COUNTIF($G$3:G39,G39),"000"),"")))))))))))</f>
        <v>EXP-036</v>
      </c>
      <c r="I39" s="2"/>
      <c r="J39" s="2"/>
    </row>
    <row r="40" spans="2:10" ht="15.5" customHeight="1">
      <c r="B40" s="4" t="s">
        <v>94</v>
      </c>
      <c r="C40" s="7" t="s">
        <v>83</v>
      </c>
      <c r="D40" s="47"/>
      <c r="E40" s="33" t="s">
        <v>87</v>
      </c>
      <c r="F40" s="34" t="s">
        <v>1088</v>
      </c>
      <c r="G40" s="9" t="s">
        <v>10</v>
      </c>
      <c r="H40" s="1" t="str">
        <f>IF(G40="","",IF(G40="EKSPLORASI","EXP-"&amp;TEXT(COUNTIF($G$3:G40,G40),"000"),IF(G40="HSE","HSE-"&amp;TEXT(COUNTIF($G$3:G40,G40),"000"),IF(G40="QAQC","QAQC-"&amp;TEXT(COUNTIF($G$3:G40,G40),"000"),IF(G40="HCGA","HCGA-"&amp;TEXT(COUNTIF($G$3:G40,G40),"000"),IF(G40="MAINTENANCE","MNT-"&amp;TEXT(COUNTIF($G$3:G40,G40),"000"),IF(G40="CIVIL","CIV-"&amp;TEXT(COUNTIF($G$3:G40,G40),"000"),IF(G40="GANIS","GAN-"&amp;TEXT(COUNTIF($G$3:G40,G40),"000"),IF(G40="ENGINEERING","ENG-"&amp;TEXT(COUNTIF($G$3:G40,G40),"000"),IF(G40="PRODUKSI","PRO-"&amp;TEXT(COUNTIF($G$3:G40,G40),"000"),IF(G40="SURVEY","SUR-"&amp;TEXT(COUNTIF($G$3:G40,G40),"000"),"")))))))))))</f>
        <v>EXP-037</v>
      </c>
      <c r="I40" s="2"/>
      <c r="J40" s="2"/>
    </row>
    <row r="41" spans="2:10" ht="15.5" customHeight="1">
      <c r="B41" s="4" t="s">
        <v>96</v>
      </c>
      <c r="C41" s="7" t="s">
        <v>86</v>
      </c>
      <c r="D41" s="47">
        <v>1060000</v>
      </c>
      <c r="E41" s="33" t="s">
        <v>43</v>
      </c>
      <c r="F41" s="34" t="s">
        <v>1161</v>
      </c>
      <c r="G41" s="9" t="s">
        <v>10</v>
      </c>
      <c r="H41" s="1" t="str">
        <f>IF(G41="","",IF(G41="EKSPLORASI","EXP-"&amp;TEXT(COUNTIF($G$3:G41,G41),"000"),IF(G41="HSE","HSE-"&amp;TEXT(COUNTIF($G$3:G41,G41),"000"),IF(G41="QAQC","QAQC-"&amp;TEXT(COUNTIF($G$3:G41,G41),"000"),IF(G41="HCGA","HCGA-"&amp;TEXT(COUNTIF($G$3:G41,G41),"000"),IF(G41="MAINTENANCE","MNT-"&amp;TEXT(COUNTIF($G$3:G41,G41),"000"),IF(G41="CIVIL","CIV-"&amp;TEXT(COUNTIF($G$3:G41,G41),"000"),IF(G41="GANIS","GAN-"&amp;TEXT(COUNTIF($G$3:G41,G41),"000"),IF(G41="ENGINEERING","ENG-"&amp;TEXT(COUNTIF($G$3:G41,G41),"000"),IF(G41="PRODUKSI","PRO-"&amp;TEXT(COUNTIF($G$3:G41,G41),"000"),IF(G41="SURVEY","SUR-"&amp;TEXT(COUNTIF($G$3:G41,G41),"000"),"")))))))))))</f>
        <v>EXP-038</v>
      </c>
      <c r="I41" s="2"/>
      <c r="J41" s="2"/>
    </row>
    <row r="42" spans="2:10" ht="15.5" customHeight="1">
      <c r="B42" s="4" t="s">
        <v>98</v>
      </c>
      <c r="C42" s="7" t="s">
        <v>89</v>
      </c>
      <c r="D42" s="47">
        <v>100000</v>
      </c>
      <c r="E42" s="33" t="s">
        <v>43</v>
      </c>
      <c r="F42" s="34" t="s">
        <v>1089</v>
      </c>
      <c r="G42" s="9" t="s">
        <v>10</v>
      </c>
      <c r="H42" s="1" t="str">
        <f>IF(G42="","",IF(G42="EKSPLORASI","EXP-"&amp;TEXT(COUNTIF($G$3:G42,G42),"000"),IF(G42="HSE","HSE-"&amp;TEXT(COUNTIF($G$3:G42,G42),"000"),IF(G42="QAQC","QAQC-"&amp;TEXT(COUNTIF($G$3:G42,G42),"000"),IF(G42="HCGA","HCGA-"&amp;TEXT(COUNTIF($G$3:G42,G42),"000"),IF(G42="MAINTENANCE","MNT-"&amp;TEXT(COUNTIF($G$3:G42,G42),"000"),IF(G42="CIVIL","CIV-"&amp;TEXT(COUNTIF($G$3:G42,G42),"000"),IF(G42="GANIS","GAN-"&amp;TEXT(COUNTIF($G$3:G42,G42),"000"),IF(G42="ENGINEERING","ENG-"&amp;TEXT(COUNTIF($G$3:G42,G42),"000"),IF(G42="PRODUKSI","PRO-"&amp;TEXT(COUNTIF($G$3:G42,G42),"000"),IF(G42="SURVEY","SUR-"&amp;TEXT(COUNTIF($G$3:G42,G42),"000"),"")))))))))))</f>
        <v>EXP-039</v>
      </c>
      <c r="I42" s="2"/>
      <c r="J42" s="2"/>
    </row>
    <row r="43" spans="2:10" ht="15.5" customHeight="1">
      <c r="B43" s="4" t="s">
        <v>100</v>
      </c>
      <c r="C43" s="7" t="s">
        <v>91</v>
      </c>
      <c r="D43" s="47"/>
      <c r="E43" s="33" t="s">
        <v>14</v>
      </c>
      <c r="F43" s="34"/>
      <c r="G43" s="9" t="s">
        <v>10</v>
      </c>
      <c r="H43" s="1" t="str">
        <f>IF(G43="","",IF(G43="EKSPLORASI","EXP-"&amp;TEXT(COUNTIF($G$3:G43,G43),"000"),IF(G43="HSE","HSE-"&amp;TEXT(COUNTIF($G$3:G43,G43),"000"),IF(G43="QAQC","QAQC-"&amp;TEXT(COUNTIF($G$3:G43,G43),"000"),IF(G43="HCGA","HCGA-"&amp;TEXT(COUNTIF($G$3:G43,G43),"000"),IF(G43="MAINTENANCE","MNT-"&amp;TEXT(COUNTIF($G$3:G43,G43),"000"),IF(G43="CIVIL","CIV-"&amp;TEXT(COUNTIF($G$3:G43,G43),"000"),IF(G43="GANIS","GAN-"&amp;TEXT(COUNTIF($G$3:G43,G43),"000"),IF(G43="ENGINEERING","ENG-"&amp;TEXT(COUNTIF($G$3:G43,G43),"000"),IF(G43="PRODUKSI","PRO-"&amp;TEXT(COUNTIF($G$3:G43,G43),"000"),IF(G43="SURVEY","SUR-"&amp;TEXT(COUNTIF($G$3:G43,G43),"000"),"")))))))))))</f>
        <v>EXP-040</v>
      </c>
      <c r="I43" s="2"/>
      <c r="J43" s="2"/>
    </row>
    <row r="44" spans="2:10" ht="15.5" customHeight="1">
      <c r="B44" s="4" t="s">
        <v>102</v>
      </c>
      <c r="C44" s="7" t="s">
        <v>93</v>
      </c>
      <c r="D44" s="47"/>
      <c r="E44" s="33" t="s">
        <v>63</v>
      </c>
      <c r="F44" s="34"/>
      <c r="G44" s="9" t="s">
        <v>10</v>
      </c>
      <c r="H44" s="1" t="str">
        <f>IF(G44="","",IF(G44="EKSPLORASI","EXP-"&amp;TEXT(COUNTIF($G$3:G44,G44),"000"),IF(G44="HSE","HSE-"&amp;TEXT(COUNTIF($G$3:G44,G44),"000"),IF(G44="QAQC","QAQC-"&amp;TEXT(COUNTIF($G$3:G44,G44),"000"),IF(G44="HCGA","HCGA-"&amp;TEXT(COUNTIF($G$3:G44,G44),"000"),IF(G44="MAINTENANCE","MNT-"&amp;TEXT(COUNTIF($G$3:G44,G44),"000"),IF(G44="CIVIL","CIV-"&amp;TEXT(COUNTIF($G$3:G44,G44),"000"),IF(G44="GANIS","GAN-"&amp;TEXT(COUNTIF($G$3:G44,G44),"000"),IF(G44="ENGINEERING","ENG-"&amp;TEXT(COUNTIF($G$3:G44,G44),"000"),IF(G44="PRODUKSI","PRO-"&amp;TEXT(COUNTIF($G$3:G44,G44),"000"),IF(G44="SURVEY","SUR-"&amp;TEXT(COUNTIF($G$3:G44,G44),"000"),"")))))))))))</f>
        <v>EXP-041</v>
      </c>
      <c r="I44" s="2"/>
      <c r="J44" s="2"/>
    </row>
    <row r="45" spans="2:10" ht="15.5" customHeight="1">
      <c r="B45" s="4" t="s">
        <v>104</v>
      </c>
      <c r="C45" s="7" t="s">
        <v>95</v>
      </c>
      <c r="D45" s="47"/>
      <c r="E45" s="33" t="s">
        <v>14</v>
      </c>
      <c r="F45" s="34"/>
      <c r="G45" s="9" t="s">
        <v>10</v>
      </c>
      <c r="H45" s="1" t="str">
        <f>IF(G45="","",IF(G45="EKSPLORASI","EXP-"&amp;TEXT(COUNTIF($G$3:G45,G45),"000"),IF(G45="HSE","HSE-"&amp;TEXT(COUNTIF($G$3:G45,G45),"000"),IF(G45="QAQC","QAQC-"&amp;TEXT(COUNTIF($G$3:G45,G45),"000"),IF(G45="HCGA","HCGA-"&amp;TEXT(COUNTIF($G$3:G45,G45),"000"),IF(G45="MAINTENANCE","MNT-"&amp;TEXT(COUNTIF($G$3:G45,G45),"000"),IF(G45="CIVIL","CIV-"&amp;TEXT(COUNTIF($G$3:G45,G45),"000"),IF(G45="GANIS","GAN-"&amp;TEXT(COUNTIF($G$3:G45,G45),"000"),IF(G45="ENGINEERING","ENG-"&amp;TEXT(COUNTIF($G$3:G45,G45),"000"),IF(G45="PRODUKSI","PRO-"&amp;TEXT(COUNTIF($G$3:G45,G45),"000"),IF(G45="SURVEY","SUR-"&amp;TEXT(COUNTIF($G$3:G45,G45),"000"),"")))))))))))</f>
        <v>EXP-042</v>
      </c>
      <c r="I45" s="2"/>
      <c r="J45" s="2"/>
    </row>
    <row r="46" spans="2:10" ht="15.5" customHeight="1">
      <c r="B46" s="4" t="s">
        <v>106</v>
      </c>
      <c r="C46" s="7" t="s">
        <v>97</v>
      </c>
      <c r="D46" s="47"/>
      <c r="E46" s="33" t="s">
        <v>43</v>
      </c>
      <c r="F46" s="34"/>
      <c r="G46" s="9" t="s">
        <v>10</v>
      </c>
      <c r="H46" s="1" t="str">
        <f>IF(G46="","",IF(G46="EKSPLORASI","EXP-"&amp;TEXT(COUNTIF($G$3:G46,G46),"000"),IF(G46="HSE","HSE-"&amp;TEXT(COUNTIF($G$3:G46,G46),"000"),IF(G46="QAQC","QAQC-"&amp;TEXT(COUNTIF($G$3:G46,G46),"000"),IF(G46="HCGA","HCGA-"&amp;TEXT(COUNTIF($G$3:G46,G46),"000"),IF(G46="MAINTENANCE","MNT-"&amp;TEXT(COUNTIF($G$3:G46,G46),"000"),IF(G46="CIVIL","CIV-"&amp;TEXT(COUNTIF($G$3:G46,G46),"000"),IF(G46="GANIS","GAN-"&amp;TEXT(COUNTIF($G$3:G46,G46),"000"),IF(G46="ENGINEERING","ENG-"&amp;TEXT(COUNTIF($G$3:G46,G46),"000"),IF(G46="PRODUKSI","PRO-"&amp;TEXT(COUNTIF($G$3:G46,G46),"000"),IF(G46="SURVEY","SUR-"&amp;TEXT(COUNTIF($G$3:G46,G46),"000"),"")))))))))))</f>
        <v>EXP-043</v>
      </c>
      <c r="I46" s="2"/>
      <c r="J46" s="2"/>
    </row>
    <row r="47" spans="2:10" ht="15.5" customHeight="1">
      <c r="B47" s="4" t="s">
        <v>108</v>
      </c>
      <c r="C47" s="7" t="s">
        <v>99</v>
      </c>
      <c r="D47" s="47"/>
      <c r="E47" s="33" t="s">
        <v>46</v>
      </c>
      <c r="F47" s="34"/>
      <c r="G47" s="9" t="s">
        <v>10</v>
      </c>
      <c r="H47" s="1" t="str">
        <f>IF(G47="","",IF(G47="EKSPLORASI","EXP-"&amp;TEXT(COUNTIF($G$3:G47,G47),"000"),IF(G47="HSE","HSE-"&amp;TEXT(COUNTIF($G$3:G47,G47),"000"),IF(G47="QAQC","QAQC-"&amp;TEXT(COUNTIF($G$3:G47,G47),"000"),IF(G47="HCGA","HCGA-"&amp;TEXT(COUNTIF($G$3:G47,G47),"000"),IF(G47="MAINTENANCE","MNT-"&amp;TEXT(COUNTIF($G$3:G47,G47),"000"),IF(G47="CIVIL","CIV-"&amp;TEXT(COUNTIF($G$3:G47,G47),"000"),IF(G47="GANIS","GAN-"&amp;TEXT(COUNTIF($G$3:G47,G47),"000"),IF(G47="ENGINEERING","ENG-"&amp;TEXT(COUNTIF($G$3:G47,G47),"000"),IF(G47="PRODUKSI","PRO-"&amp;TEXT(COUNTIF($G$3:G47,G47),"000"),IF(G47="SURVEY","SUR-"&amp;TEXT(COUNTIF($G$3:G47,G47),"000"),"")))))))))))</f>
        <v>EXP-044</v>
      </c>
      <c r="I47" s="2"/>
      <c r="J47" s="2"/>
    </row>
    <row r="48" spans="2:10" ht="15.5" customHeight="1">
      <c r="B48" s="4" t="s">
        <v>110</v>
      </c>
      <c r="C48" s="7" t="s">
        <v>101</v>
      </c>
      <c r="D48" s="47"/>
      <c r="E48" s="33" t="s">
        <v>14</v>
      </c>
      <c r="F48" s="34"/>
      <c r="G48" s="9" t="s">
        <v>10</v>
      </c>
      <c r="H48" s="1" t="str">
        <f>IF(G48="","",IF(G48="EKSPLORASI","EXP-"&amp;TEXT(COUNTIF($G$3:G48,G48),"000"),IF(G48="HSE","HSE-"&amp;TEXT(COUNTIF($G$3:G48,G48),"000"),IF(G48="QAQC","QAQC-"&amp;TEXT(COUNTIF($G$3:G48,G48),"000"),IF(G48="HCGA","HCGA-"&amp;TEXT(COUNTIF($G$3:G48,G48),"000"),IF(G48="MAINTENANCE","MNT-"&amp;TEXT(COUNTIF($G$3:G48,G48),"000"),IF(G48="CIVIL","CIV-"&amp;TEXT(COUNTIF($G$3:G48,G48),"000"),IF(G48="GANIS","GAN-"&amp;TEXT(COUNTIF($G$3:G48,G48),"000"),IF(G48="ENGINEERING","ENG-"&amp;TEXT(COUNTIF($G$3:G48,G48),"000"),IF(G48="PRODUKSI","PRO-"&amp;TEXT(COUNTIF($G$3:G48,G48),"000"),IF(G48="SURVEY","SUR-"&amp;TEXT(COUNTIF($G$3:G48,G48),"000"),"")))))))))))</f>
        <v>EXP-045</v>
      </c>
      <c r="I48" s="2"/>
      <c r="J48" s="2"/>
    </row>
    <row r="49" spans="2:10" ht="15.5" customHeight="1">
      <c r="B49" s="4" t="s">
        <v>112</v>
      </c>
      <c r="C49" s="7" t="s">
        <v>103</v>
      </c>
      <c r="D49" s="47"/>
      <c r="E49" s="33" t="s">
        <v>14</v>
      </c>
      <c r="F49" s="34"/>
      <c r="G49" s="9" t="s">
        <v>10</v>
      </c>
      <c r="H49" s="1" t="str">
        <f>IF(G49="","",IF(G49="EKSPLORASI","EXP-"&amp;TEXT(COUNTIF($G$3:G49,G49),"000"),IF(G49="HSE","HSE-"&amp;TEXT(COUNTIF($G$3:G49,G49),"000"),IF(G49="QAQC","QAQC-"&amp;TEXT(COUNTIF($G$3:G49,G49),"000"),IF(G49="HCGA","HCGA-"&amp;TEXT(COUNTIF($G$3:G49,G49),"000"),IF(G49="MAINTENANCE","MNT-"&amp;TEXT(COUNTIF($G$3:G49,G49),"000"),IF(G49="CIVIL","CIV-"&amp;TEXT(COUNTIF($G$3:G49,G49),"000"),IF(G49="GANIS","GAN-"&amp;TEXT(COUNTIF($G$3:G49,G49),"000"),IF(G49="ENGINEERING","ENG-"&amp;TEXT(COUNTIF($G$3:G49,G49),"000"),IF(G49="PRODUKSI","PRO-"&amp;TEXT(COUNTIF($G$3:G49,G49),"000"),IF(G49="SURVEY","SUR-"&amp;TEXT(COUNTIF($G$3:G49,G49),"000"),"")))))))))))</f>
        <v>EXP-046</v>
      </c>
      <c r="I49" s="2"/>
      <c r="J49" s="2"/>
    </row>
    <row r="50" spans="2:10" ht="15.5" customHeight="1">
      <c r="B50" s="4" t="s">
        <v>114</v>
      </c>
      <c r="C50" s="7" t="s">
        <v>105</v>
      </c>
      <c r="D50" s="47">
        <v>3400000</v>
      </c>
      <c r="E50" s="33" t="s">
        <v>14</v>
      </c>
      <c r="F50" s="34" t="s">
        <v>1088</v>
      </c>
      <c r="G50" s="9" t="s">
        <v>10</v>
      </c>
      <c r="H50" s="1" t="str">
        <f>IF(G50="","",IF(G50="EKSPLORASI","EXP-"&amp;TEXT(COUNTIF($G$3:G50,G50),"000"),IF(G50="HSE","HSE-"&amp;TEXT(COUNTIF($G$3:G50,G50),"000"),IF(G50="QAQC","QAQC-"&amp;TEXT(COUNTIF($G$3:G50,G50),"000"),IF(G50="HCGA","HCGA-"&amp;TEXT(COUNTIF($G$3:G50,G50),"000"),IF(G50="MAINTENANCE","MNT-"&amp;TEXT(COUNTIF($G$3:G50,G50),"000"),IF(G50="CIVIL","CIV-"&amp;TEXT(COUNTIF($G$3:G50,G50),"000"),IF(G50="GANIS","GAN-"&amp;TEXT(COUNTIF($G$3:G50,G50),"000"),IF(G50="ENGINEERING","ENG-"&amp;TEXT(COUNTIF($G$3:G50,G50),"000"),IF(G50="PRODUKSI","PRO-"&amp;TEXT(COUNTIF($G$3:G50,G50),"000"),IF(G50="SURVEY","SUR-"&amp;TEXT(COUNTIF($G$3:G50,G50),"000"),"")))))))))))</f>
        <v>EXP-047</v>
      </c>
      <c r="I50" s="2"/>
      <c r="J50" s="2"/>
    </row>
    <row r="51" spans="2:10" ht="15.5" customHeight="1">
      <c r="B51" s="4" t="s">
        <v>116</v>
      </c>
      <c r="C51" s="7" t="s">
        <v>107</v>
      </c>
      <c r="D51" s="47"/>
      <c r="E51" s="33" t="s">
        <v>14</v>
      </c>
      <c r="F51" s="34"/>
      <c r="G51" s="9" t="s">
        <v>10</v>
      </c>
      <c r="H51" s="1" t="str">
        <f>IF(G51="","",IF(G51="EKSPLORASI","EXP-"&amp;TEXT(COUNTIF($G$3:G51,G51),"000"),IF(G51="HSE","HSE-"&amp;TEXT(COUNTIF($G$3:G51,G51),"000"),IF(G51="QAQC","QAQC-"&amp;TEXT(COUNTIF($G$3:G51,G51),"000"),IF(G51="HCGA","HCGA-"&amp;TEXT(COUNTIF($G$3:G51,G51),"000"),IF(G51="MAINTENANCE","MNT-"&amp;TEXT(COUNTIF($G$3:G51,G51),"000"),IF(G51="CIVIL","CIV-"&amp;TEXT(COUNTIF($G$3:G51,G51),"000"),IF(G51="GANIS","GAN-"&amp;TEXT(COUNTIF($G$3:G51,G51),"000"),IF(G51="ENGINEERING","ENG-"&amp;TEXT(COUNTIF($G$3:G51,G51),"000"),IF(G51="PRODUKSI","PRO-"&amp;TEXT(COUNTIF($G$3:G51,G51),"000"),IF(G51="SURVEY","SUR-"&amp;TEXT(COUNTIF($G$3:G51,G51),"000"),"")))))))))))</f>
        <v>EXP-048</v>
      </c>
      <c r="I51" s="2"/>
      <c r="J51" s="2"/>
    </row>
    <row r="52" spans="2:10" ht="15.5" customHeight="1">
      <c r="B52" s="4" t="s">
        <v>118</v>
      </c>
      <c r="C52" s="7" t="s">
        <v>109</v>
      </c>
      <c r="D52" s="47"/>
      <c r="E52" s="33" t="s">
        <v>14</v>
      </c>
      <c r="F52" s="34"/>
      <c r="G52" s="9" t="s">
        <v>10</v>
      </c>
      <c r="H52" s="1" t="str">
        <f>IF(G52="","",IF(G52="EKSPLORASI","EXP-"&amp;TEXT(COUNTIF($G$3:G52,G52),"000"),IF(G52="HSE","HSE-"&amp;TEXT(COUNTIF($G$3:G52,G52),"000"),IF(G52="QAQC","QAQC-"&amp;TEXT(COUNTIF($G$3:G52,G52),"000"),IF(G52="HCGA","HCGA-"&amp;TEXT(COUNTIF($G$3:G52,G52),"000"),IF(G52="MAINTENANCE","MNT-"&amp;TEXT(COUNTIF($G$3:G52,G52),"000"),IF(G52="CIVIL","CIV-"&amp;TEXT(COUNTIF($G$3:G52,G52),"000"),IF(G52="GANIS","GAN-"&amp;TEXT(COUNTIF($G$3:G52,G52),"000"),IF(G52="ENGINEERING","ENG-"&amp;TEXT(COUNTIF($G$3:G52,G52),"000"),IF(G52="PRODUKSI","PRO-"&amp;TEXT(COUNTIF($G$3:G52,G52),"000"),IF(G52="SURVEY","SUR-"&amp;TEXT(COUNTIF($G$3:G52,G52),"000"),"")))))))))))</f>
        <v>EXP-049</v>
      </c>
      <c r="I52" s="2"/>
      <c r="J52" s="2"/>
    </row>
    <row r="53" spans="2:10" ht="15.5" customHeight="1">
      <c r="B53" s="4" t="s">
        <v>120</v>
      </c>
      <c r="C53" s="7" t="s">
        <v>111</v>
      </c>
      <c r="D53" s="47"/>
      <c r="E53" s="33" t="s">
        <v>14</v>
      </c>
      <c r="F53" s="34"/>
      <c r="G53" s="9" t="s">
        <v>10</v>
      </c>
      <c r="H53" s="1" t="str">
        <f>IF(G53="","",IF(G53="EKSPLORASI","EXP-"&amp;TEXT(COUNTIF($G$3:G53,G53),"000"),IF(G53="HSE","HSE-"&amp;TEXT(COUNTIF($G$3:G53,G53),"000"),IF(G53="QAQC","QAQC-"&amp;TEXT(COUNTIF($G$3:G53,G53),"000"),IF(G53="HCGA","HCGA-"&amp;TEXT(COUNTIF($G$3:G53,G53),"000"),IF(G53="MAINTENANCE","MNT-"&amp;TEXT(COUNTIF($G$3:G53,G53),"000"),IF(G53="CIVIL","CIV-"&amp;TEXT(COUNTIF($G$3:G53,G53),"000"),IF(G53="GANIS","GAN-"&amp;TEXT(COUNTIF($G$3:G53,G53),"000"),IF(G53="ENGINEERING","ENG-"&amp;TEXT(COUNTIF($G$3:G53,G53),"000"),IF(G53="PRODUKSI","PRO-"&amp;TEXT(COUNTIF($G$3:G53,G53),"000"),IF(G53="SURVEY","SUR-"&amp;TEXT(COUNTIF($G$3:G53,G53),"000"),"")))))))))))</f>
        <v>EXP-050</v>
      </c>
      <c r="I53" s="2"/>
      <c r="J53" s="2"/>
    </row>
    <row r="54" spans="2:10" ht="15.5" customHeight="1">
      <c r="B54" s="4" t="s">
        <v>122</v>
      </c>
      <c r="C54" s="7" t="s">
        <v>113</v>
      </c>
      <c r="D54" s="47"/>
      <c r="E54" s="33" t="s">
        <v>14</v>
      </c>
      <c r="F54" s="34"/>
      <c r="G54" s="9" t="s">
        <v>10</v>
      </c>
      <c r="H54" s="1" t="str">
        <f>IF(G54="","",IF(G54="EKSPLORASI","EXP-"&amp;TEXT(COUNTIF($G$3:G54,G54),"000"),IF(G54="HSE","HSE-"&amp;TEXT(COUNTIF($G$3:G54,G54),"000"),IF(G54="QAQC","QAQC-"&amp;TEXT(COUNTIF($G$3:G54,G54),"000"),IF(G54="HCGA","HCGA-"&amp;TEXT(COUNTIF($G$3:G54,G54),"000"),IF(G54="MAINTENANCE","MNT-"&amp;TEXT(COUNTIF($G$3:G54,G54),"000"),IF(G54="CIVIL","CIV-"&amp;TEXT(COUNTIF($G$3:G54,G54),"000"),IF(G54="GANIS","GAN-"&amp;TEXT(COUNTIF($G$3:G54,G54),"000"),IF(G54="ENGINEERING","ENG-"&amp;TEXT(COUNTIF($G$3:G54,G54),"000"),IF(G54="PRODUKSI","PRO-"&amp;TEXT(COUNTIF($G$3:G54,G54),"000"),IF(G54="SURVEY","SUR-"&amp;TEXT(COUNTIF($G$3:G54,G54),"000"),"")))))))))))</f>
        <v>EXP-051</v>
      </c>
      <c r="I54" s="2"/>
      <c r="J54" s="2"/>
    </row>
    <row r="55" spans="2:10" ht="15.5" customHeight="1">
      <c r="B55" s="4" t="s">
        <v>124</v>
      </c>
      <c r="C55" s="7" t="s">
        <v>115</v>
      </c>
      <c r="D55" s="47"/>
      <c r="E55" s="33" t="s">
        <v>14</v>
      </c>
      <c r="F55" s="34"/>
      <c r="G55" s="9" t="s">
        <v>10</v>
      </c>
      <c r="H55" s="1" t="str">
        <f>IF(G55="","",IF(G55="EKSPLORASI","EXP-"&amp;TEXT(COUNTIF($G$3:G55,G55),"000"),IF(G55="HSE","HSE-"&amp;TEXT(COUNTIF($G$3:G55,G55),"000"),IF(G55="QAQC","QAQC-"&amp;TEXT(COUNTIF($G$3:G55,G55),"000"),IF(G55="HCGA","HCGA-"&amp;TEXT(COUNTIF($G$3:G55,G55),"000"),IF(G55="MAINTENANCE","MNT-"&amp;TEXT(COUNTIF($G$3:G55,G55),"000"),IF(G55="CIVIL","CIV-"&amp;TEXT(COUNTIF($G$3:G55,G55),"000"),IF(G55="GANIS","GAN-"&amp;TEXT(COUNTIF($G$3:G55,G55),"000"),IF(G55="ENGINEERING","ENG-"&amp;TEXT(COUNTIF($G$3:G55,G55),"000"),IF(G55="PRODUKSI","PRO-"&amp;TEXT(COUNTIF($G$3:G55,G55),"000"),IF(G55="SURVEY","SUR-"&amp;TEXT(COUNTIF($G$3:G55,G55),"000"),"")))))))))))</f>
        <v>EXP-052</v>
      </c>
      <c r="I55" s="2"/>
      <c r="J55" s="2"/>
    </row>
    <row r="56" spans="2:10" ht="15.5" customHeight="1">
      <c r="B56" s="4" t="s">
        <v>126</v>
      </c>
      <c r="C56" s="7" t="s">
        <v>117</v>
      </c>
      <c r="D56" s="47"/>
      <c r="E56" s="33" t="s">
        <v>14</v>
      </c>
      <c r="F56" s="34"/>
      <c r="G56" s="9" t="s">
        <v>10</v>
      </c>
      <c r="H56" s="1" t="str">
        <f>IF(G56="","",IF(G56="EKSPLORASI","EXP-"&amp;TEXT(COUNTIF($G$3:G56,G56),"000"),IF(G56="HSE","HSE-"&amp;TEXT(COUNTIF($G$3:G56,G56),"000"),IF(G56="QAQC","QAQC-"&amp;TEXT(COUNTIF($G$3:G56,G56),"000"),IF(G56="HCGA","HCGA-"&amp;TEXT(COUNTIF($G$3:G56,G56),"000"),IF(G56="MAINTENANCE","MNT-"&amp;TEXT(COUNTIF($G$3:G56,G56),"000"),IF(G56="CIVIL","CIV-"&amp;TEXT(COUNTIF($G$3:G56,G56),"000"),IF(G56="GANIS","GAN-"&amp;TEXT(COUNTIF($G$3:G56,G56),"000"),IF(G56="ENGINEERING","ENG-"&amp;TEXT(COUNTIF($G$3:G56,G56),"000"),IF(G56="PRODUKSI","PRO-"&amp;TEXT(COUNTIF($G$3:G56,G56),"000"),IF(G56="SURVEY","SUR-"&amp;TEXT(COUNTIF($G$3:G56,G56),"000"),"")))))))))))</f>
        <v>EXP-053</v>
      </c>
      <c r="I56" s="2"/>
      <c r="J56" s="2"/>
    </row>
    <row r="57" spans="2:10" ht="15.5" customHeight="1">
      <c r="B57" s="4" t="s">
        <v>128</v>
      </c>
      <c r="C57" s="7" t="s">
        <v>119</v>
      </c>
      <c r="D57" s="47"/>
      <c r="E57" s="33" t="s">
        <v>14</v>
      </c>
      <c r="F57" s="34"/>
      <c r="G57" s="9" t="s">
        <v>10</v>
      </c>
      <c r="H57" s="1" t="str">
        <f>IF(G57="","",IF(G57="EKSPLORASI","EXP-"&amp;TEXT(COUNTIF($G$3:G57,G57),"000"),IF(G57="HSE","HSE-"&amp;TEXT(COUNTIF($G$3:G57,G57),"000"),IF(G57="QAQC","QAQC-"&amp;TEXT(COUNTIF($G$3:G57,G57),"000"),IF(G57="HCGA","HCGA-"&amp;TEXT(COUNTIF($G$3:G57,G57),"000"),IF(G57="MAINTENANCE","MNT-"&amp;TEXT(COUNTIF($G$3:G57,G57),"000"),IF(G57="CIVIL","CIV-"&amp;TEXT(COUNTIF($G$3:G57,G57),"000"),IF(G57="GANIS","GAN-"&amp;TEXT(COUNTIF($G$3:G57,G57),"000"),IF(G57="ENGINEERING","ENG-"&amp;TEXT(COUNTIF($G$3:G57,G57),"000"),IF(G57="PRODUKSI","PRO-"&amp;TEXT(COUNTIF($G$3:G57,G57),"000"),IF(G57="SURVEY","SUR-"&amp;TEXT(COUNTIF($G$3:G57,G57),"000"),"")))))))))))</f>
        <v>EXP-054</v>
      </c>
      <c r="I57" s="2"/>
      <c r="J57" s="2"/>
    </row>
    <row r="58" spans="2:10" ht="15.5" customHeight="1">
      <c r="B58" s="4" t="s">
        <v>130</v>
      </c>
      <c r="C58" s="7" t="s">
        <v>121</v>
      </c>
      <c r="D58" s="47"/>
      <c r="E58" s="33" t="s">
        <v>14</v>
      </c>
      <c r="F58" s="34"/>
      <c r="G58" s="9" t="s">
        <v>10</v>
      </c>
      <c r="H58" s="1" t="str">
        <f>IF(G58="","",IF(G58="EKSPLORASI","EXP-"&amp;TEXT(COUNTIF($G$3:G58,G58),"000"),IF(G58="HSE","HSE-"&amp;TEXT(COUNTIF($G$3:G58,G58),"000"),IF(G58="QAQC","QAQC-"&amp;TEXT(COUNTIF($G$3:G58,G58),"000"),IF(G58="HCGA","HCGA-"&amp;TEXT(COUNTIF($G$3:G58,G58),"000"),IF(G58="MAINTENANCE","MNT-"&amp;TEXT(COUNTIF($G$3:G58,G58),"000"),IF(G58="CIVIL","CIV-"&amp;TEXT(COUNTIF($G$3:G58,G58),"000"),IF(G58="GANIS","GAN-"&amp;TEXT(COUNTIF($G$3:G58,G58),"000"),IF(G58="ENGINEERING","ENG-"&amp;TEXT(COUNTIF($G$3:G58,G58),"000"),IF(G58="PRODUKSI","PRO-"&amp;TEXT(COUNTIF($G$3:G58,G58),"000"),IF(G58="SURVEY","SUR-"&amp;TEXT(COUNTIF($G$3:G58,G58),"000"),"")))))))))))</f>
        <v>EXP-055</v>
      </c>
      <c r="I58" s="2"/>
      <c r="J58" s="2"/>
    </row>
    <row r="59" spans="2:10" ht="15.5" customHeight="1">
      <c r="B59" s="4" t="s">
        <v>133</v>
      </c>
      <c r="C59" s="7" t="s">
        <v>123</v>
      </c>
      <c r="D59" s="47">
        <v>3650000</v>
      </c>
      <c r="E59" s="33" t="s">
        <v>25</v>
      </c>
      <c r="F59" s="34" t="s">
        <v>1088</v>
      </c>
      <c r="G59" s="9" t="s">
        <v>10</v>
      </c>
      <c r="H59" s="1" t="str">
        <f>IF(G59="","",IF(G59="EKSPLORASI","EXP-"&amp;TEXT(COUNTIF($G$3:G59,G59),"000"),IF(G59="HSE","HSE-"&amp;TEXT(COUNTIF($G$3:G59,G59),"000"),IF(G59="QAQC","QAQC-"&amp;TEXT(COUNTIF($G$3:G59,G59),"000"),IF(G59="HCGA","HCGA-"&amp;TEXT(COUNTIF($G$3:G59,G59),"000"),IF(G59="MAINTENANCE","MNT-"&amp;TEXT(COUNTIF($G$3:G59,G59),"000"),IF(G59="CIVIL","CIV-"&amp;TEXT(COUNTIF($G$3:G59,G59),"000"),IF(G59="GANIS","GAN-"&amp;TEXT(COUNTIF($G$3:G59,G59),"000"),IF(G59="ENGINEERING","ENG-"&amp;TEXT(COUNTIF($G$3:G59,G59),"000"),IF(G59="PRODUKSI","PRO-"&amp;TEXT(COUNTIF($G$3:G59,G59),"000"),IF(G59="SURVEY","SUR-"&amp;TEXT(COUNTIF($G$3:G59,G59),"000"),"")))))))))))</f>
        <v>EXP-056</v>
      </c>
      <c r="I59" s="2"/>
      <c r="J59" s="2"/>
    </row>
    <row r="60" spans="2:10" ht="15.5" customHeight="1">
      <c r="B60" s="4" t="s">
        <v>135</v>
      </c>
      <c r="C60" s="7" t="s">
        <v>125</v>
      </c>
      <c r="D60" s="47"/>
      <c r="E60" s="33" t="s">
        <v>11</v>
      </c>
      <c r="F60" s="34"/>
      <c r="G60" s="9" t="s">
        <v>10</v>
      </c>
      <c r="H60" s="1" t="str">
        <f>IF(G60="","",IF(G60="EKSPLORASI","EXP-"&amp;TEXT(COUNTIF($G$3:G60,G60),"000"),IF(G60="HSE","HSE-"&amp;TEXT(COUNTIF($G$3:G60,G60),"000"),IF(G60="QAQC","QAQC-"&amp;TEXT(COUNTIF($G$3:G60,G60),"000"),IF(G60="HCGA","HCGA-"&amp;TEXT(COUNTIF($G$3:G60,G60),"000"),IF(G60="MAINTENANCE","MNT-"&amp;TEXT(COUNTIF($G$3:G60,G60),"000"),IF(G60="CIVIL","CIV-"&amp;TEXT(COUNTIF($G$3:G60,G60),"000"),IF(G60="GANIS","GAN-"&amp;TEXT(COUNTIF($G$3:G60,G60),"000"),IF(G60="ENGINEERING","ENG-"&amp;TEXT(COUNTIF($G$3:G60,G60),"000"),IF(G60="PRODUKSI","PRO-"&amp;TEXT(COUNTIF($G$3:G60,G60),"000"),IF(G60="SURVEY","SUR-"&amp;TEXT(COUNTIF($G$3:G60,G60),"000"),"")))))))))))</f>
        <v>EXP-057</v>
      </c>
      <c r="I60" s="2"/>
      <c r="J60" s="2"/>
    </row>
    <row r="61" spans="2:10" ht="15.5" customHeight="1">
      <c r="B61" s="4" t="s">
        <v>137</v>
      </c>
      <c r="C61" s="7" t="s">
        <v>127</v>
      </c>
      <c r="D61" s="47"/>
      <c r="E61" s="33" t="s">
        <v>43</v>
      </c>
      <c r="F61" s="34"/>
      <c r="G61" s="9" t="s">
        <v>10</v>
      </c>
      <c r="H61" s="1" t="str">
        <f>IF(G61="","",IF(G61="EKSPLORASI","EXP-"&amp;TEXT(COUNTIF($G$3:G61,G61),"000"),IF(G61="HSE","HSE-"&amp;TEXT(COUNTIF($G$3:G61,G61),"000"),IF(G61="QAQC","QAQC-"&amp;TEXT(COUNTIF($G$3:G61,G61),"000"),IF(G61="HCGA","HCGA-"&amp;TEXT(COUNTIF($G$3:G61,G61),"000"),IF(G61="MAINTENANCE","MNT-"&amp;TEXT(COUNTIF($G$3:G61,G61),"000"),IF(G61="CIVIL","CIV-"&amp;TEXT(COUNTIF($G$3:G61,G61),"000"),IF(G61="GANIS","GAN-"&amp;TEXT(COUNTIF($G$3:G61,G61),"000"),IF(G61="ENGINEERING","ENG-"&amp;TEXT(COUNTIF($G$3:G61,G61),"000"),IF(G61="PRODUKSI","PRO-"&amp;TEXT(COUNTIF($G$3:G61,G61),"000"),IF(G61="SURVEY","SUR-"&amp;TEXT(COUNTIF($G$3:G61,G61),"000"),"")))))))))))</f>
        <v>EXP-058</v>
      </c>
      <c r="I61" s="2"/>
      <c r="J61" s="2"/>
    </row>
    <row r="62" spans="2:10" ht="15.5" customHeight="1">
      <c r="B62" s="4" t="s">
        <v>140</v>
      </c>
      <c r="C62" s="7" t="s">
        <v>129</v>
      </c>
      <c r="D62" s="47"/>
      <c r="E62" s="33" t="s">
        <v>14</v>
      </c>
      <c r="F62" s="34"/>
      <c r="G62" s="9" t="s">
        <v>10</v>
      </c>
      <c r="H62" s="1" t="str">
        <f>IF(G62="","",IF(G62="EKSPLORASI","EXP-"&amp;TEXT(COUNTIF($G$3:G62,G62),"000"),IF(G62="HSE","HSE-"&amp;TEXT(COUNTIF($G$3:G62,G62),"000"),IF(G62="QAQC","QAQC-"&amp;TEXT(COUNTIF($G$3:G62,G62),"000"),IF(G62="HCGA","HCGA-"&amp;TEXT(COUNTIF($G$3:G62,G62),"000"),IF(G62="MAINTENANCE","MNT-"&amp;TEXT(COUNTIF($G$3:G62,G62),"000"),IF(G62="CIVIL","CIV-"&amp;TEXT(COUNTIF($G$3:G62,G62),"000"),IF(G62="GANIS","GAN-"&amp;TEXT(COUNTIF($G$3:G62,G62),"000"),IF(G62="ENGINEERING","ENG-"&amp;TEXT(COUNTIF($G$3:G62,G62),"000"),IF(G62="PRODUKSI","PRO-"&amp;TEXT(COUNTIF($G$3:G62,G62),"000"),IF(G62="SURVEY","SUR-"&amp;TEXT(COUNTIF($G$3:G62,G62),"000"),"")))))))))))</f>
        <v>EXP-059</v>
      </c>
      <c r="I62" s="2"/>
      <c r="J62" s="2"/>
    </row>
    <row r="63" spans="2:10" ht="15.5" customHeight="1">
      <c r="B63" s="4" t="s">
        <v>142</v>
      </c>
      <c r="C63" s="7" t="s">
        <v>131</v>
      </c>
      <c r="D63" s="47"/>
      <c r="E63" s="33" t="s">
        <v>132</v>
      </c>
      <c r="F63" s="34"/>
      <c r="G63" s="9" t="s">
        <v>10</v>
      </c>
      <c r="H63" s="1" t="str">
        <f>IF(G63="","",IF(G63="EKSPLORASI","EXP-"&amp;TEXT(COUNTIF($G$3:G63,G63),"000"),IF(G63="HSE","HSE-"&amp;TEXT(COUNTIF($G$3:G63,G63),"000"),IF(G63="QAQC","QAQC-"&amp;TEXT(COUNTIF($G$3:G63,G63),"000"),IF(G63="HCGA","HCGA-"&amp;TEXT(COUNTIF($G$3:G63,G63),"000"),IF(G63="MAINTENANCE","MNT-"&amp;TEXT(COUNTIF($G$3:G63,G63),"000"),IF(G63="CIVIL","CIV-"&amp;TEXT(COUNTIF($G$3:G63,G63),"000"),IF(G63="GANIS","GAN-"&amp;TEXT(COUNTIF($G$3:G63,G63),"000"),IF(G63="ENGINEERING","ENG-"&amp;TEXT(COUNTIF($G$3:G63,G63),"000"),IF(G63="PRODUKSI","PRO-"&amp;TEXT(COUNTIF($G$3:G63,G63),"000"),IF(G63="SURVEY","SUR-"&amp;TEXT(COUNTIF($G$3:G63,G63),"000"),"")))))))))))</f>
        <v>EXP-060</v>
      </c>
      <c r="I63" s="2"/>
      <c r="J63" s="2"/>
    </row>
    <row r="64" spans="2:10" ht="15.5" customHeight="1">
      <c r="B64" s="4" t="s">
        <v>144</v>
      </c>
      <c r="C64" s="7" t="s">
        <v>134</v>
      </c>
      <c r="D64" s="47"/>
      <c r="E64" s="33" t="s">
        <v>132</v>
      </c>
      <c r="F64" s="34"/>
      <c r="G64" s="9" t="s">
        <v>10</v>
      </c>
      <c r="H64" s="1" t="str">
        <f>IF(G64="","",IF(G64="EKSPLORASI","EXP-"&amp;TEXT(COUNTIF($G$3:G64,G64),"000"),IF(G64="HSE","HSE-"&amp;TEXT(COUNTIF($G$3:G64,G64),"000"),IF(G64="QAQC","QAQC-"&amp;TEXT(COUNTIF($G$3:G64,G64),"000"),IF(G64="HCGA","HCGA-"&amp;TEXT(COUNTIF($G$3:G64,G64),"000"),IF(G64="MAINTENANCE","MNT-"&amp;TEXT(COUNTIF($G$3:G64,G64),"000"),IF(G64="CIVIL","CIV-"&amp;TEXT(COUNTIF($G$3:G64,G64),"000"),IF(G64="GANIS","GAN-"&amp;TEXT(COUNTIF($G$3:G64,G64),"000"),IF(G64="ENGINEERING","ENG-"&amp;TEXT(COUNTIF($G$3:G64,G64),"000"),IF(G64="PRODUKSI","PRO-"&amp;TEXT(COUNTIF($G$3:G64,G64),"000"),IF(G64="SURVEY","SUR-"&amp;TEXT(COUNTIF($G$3:G64,G64),"000"),"")))))))))))</f>
        <v>EXP-061</v>
      </c>
      <c r="I64" s="2"/>
      <c r="J64" s="2"/>
    </row>
    <row r="65" spans="2:10" ht="15.5" customHeight="1">
      <c r="B65" s="4" t="s">
        <v>146</v>
      </c>
      <c r="C65" s="7" t="s">
        <v>136</v>
      </c>
      <c r="D65" s="47"/>
      <c r="E65" s="33" t="s">
        <v>43</v>
      </c>
      <c r="F65" s="34"/>
      <c r="G65" s="9" t="s">
        <v>10</v>
      </c>
      <c r="H65" s="1" t="str">
        <f>IF(G65="","",IF(G65="EKSPLORASI","EXP-"&amp;TEXT(COUNTIF($G$3:G65,G65),"000"),IF(G65="HSE","HSE-"&amp;TEXT(COUNTIF($G$3:G65,G65),"000"),IF(G65="QAQC","QAQC-"&amp;TEXT(COUNTIF($G$3:G65,G65),"000"),IF(G65="HCGA","HCGA-"&amp;TEXT(COUNTIF($G$3:G65,G65),"000"),IF(G65="MAINTENANCE","MNT-"&amp;TEXT(COUNTIF($G$3:G65,G65),"000"),IF(G65="CIVIL","CIV-"&amp;TEXT(COUNTIF($G$3:G65,G65),"000"),IF(G65="GANIS","GAN-"&amp;TEXT(COUNTIF($G$3:G65,G65),"000"),IF(G65="ENGINEERING","ENG-"&amp;TEXT(COUNTIF($G$3:G65,G65),"000"),IF(G65="PRODUKSI","PRO-"&amp;TEXT(COUNTIF($G$3:G65,G65),"000"),IF(G65="SURVEY","SUR-"&amp;TEXT(COUNTIF($G$3:G65,G65),"000"),"")))))))))))</f>
        <v>EXP-062</v>
      </c>
      <c r="I65" s="2"/>
      <c r="J65" s="2"/>
    </row>
    <row r="66" spans="2:10" ht="15.5" customHeight="1">
      <c r="B66" s="4" t="s">
        <v>148</v>
      </c>
      <c r="C66" s="7" t="s">
        <v>138</v>
      </c>
      <c r="D66" s="47">
        <v>59500</v>
      </c>
      <c r="E66" s="33" t="s">
        <v>11</v>
      </c>
      <c r="F66" s="34"/>
      <c r="G66" s="9" t="s">
        <v>10</v>
      </c>
      <c r="H66" s="1" t="str">
        <f>IF(G66="","",IF(G66="EKSPLORASI","EXP-"&amp;TEXT(COUNTIF($G$3:G66,G66),"000"),IF(G66="HSE","HSE-"&amp;TEXT(COUNTIF($G$3:G66,G66),"000"),IF(G66="QAQC","QAQC-"&amp;TEXT(COUNTIF($G$3:G66,G66),"000"),IF(G66="HCGA","HCGA-"&amp;TEXT(COUNTIF($G$3:G66,G66),"000"),IF(G66="MAINTENANCE","MNT-"&amp;TEXT(COUNTIF($G$3:G66,G66),"000"),IF(G66="CIVIL","CIV-"&amp;TEXT(COUNTIF($G$3:G66,G66),"000"),IF(G66="GANIS","GAN-"&amp;TEXT(COUNTIF($G$3:G66,G66),"000"),IF(G66="ENGINEERING","ENG-"&amp;TEXT(COUNTIF($G$3:G66,G66),"000"),IF(G66="PRODUKSI","PRO-"&amp;TEXT(COUNTIF($G$3:G66,G66),"000"),IF(G66="SURVEY","SUR-"&amp;TEXT(COUNTIF($G$3:G66,G66),"000"),"")))))))))))</f>
        <v>EXP-063</v>
      </c>
      <c r="I66" s="2"/>
      <c r="J66" s="2"/>
    </row>
    <row r="67" spans="2:10" ht="15.5" customHeight="1">
      <c r="B67" s="4" t="s">
        <v>149</v>
      </c>
      <c r="C67" s="7" t="s">
        <v>141</v>
      </c>
      <c r="D67" s="47">
        <v>605000</v>
      </c>
      <c r="E67" s="33" t="s">
        <v>14</v>
      </c>
      <c r="F67" s="34" t="s">
        <v>1090</v>
      </c>
      <c r="G67" s="9" t="s">
        <v>10</v>
      </c>
      <c r="H67" s="1" t="str">
        <f>IF(G67="","",IF(G67="EKSPLORASI","EXP-"&amp;TEXT(COUNTIF($G$3:G67,G67),"000"),IF(G67="HSE","HSE-"&amp;TEXT(COUNTIF($G$3:G67,G67),"000"),IF(G67="QAQC","QAQC-"&amp;TEXT(COUNTIF($G$3:G67,G67),"000"),IF(G67="HCGA","HCGA-"&amp;TEXT(COUNTIF($G$3:G67,G67),"000"),IF(G67="MAINTENANCE","MNT-"&amp;TEXT(COUNTIF($G$3:G67,G67),"000"),IF(G67="CIVIL","CIV-"&amp;TEXT(COUNTIF($G$3:G67,G67),"000"),IF(G67="GANIS","GAN-"&amp;TEXT(COUNTIF($G$3:G67,G67),"000"),IF(G67="ENGINEERING","ENG-"&amp;TEXT(COUNTIF($G$3:G67,G67),"000"),IF(G67="PRODUKSI","PRO-"&amp;TEXT(COUNTIF($G$3:G67,G67),"000"),IF(G67="SURVEY","SUR-"&amp;TEXT(COUNTIF($G$3:G67,G67),"000"),"")))))))))))</f>
        <v>EXP-064</v>
      </c>
      <c r="I67" s="2"/>
      <c r="J67" s="2"/>
    </row>
    <row r="68" spans="2:10" ht="15.5" customHeight="1">
      <c r="B68" s="4" t="s">
        <v>151</v>
      </c>
      <c r="C68" s="7" t="s">
        <v>143</v>
      </c>
      <c r="D68" s="47">
        <v>12000</v>
      </c>
      <c r="E68" s="33" t="s">
        <v>14</v>
      </c>
      <c r="F68" s="34" t="s">
        <v>1091</v>
      </c>
      <c r="G68" s="9" t="s">
        <v>10</v>
      </c>
      <c r="H68" s="1" t="str">
        <f>IF(G68="","",IF(G68="EKSPLORASI","EXP-"&amp;TEXT(COUNTIF($G$3:G68,G68),"000"),IF(G68="HSE","HSE-"&amp;TEXT(COUNTIF($G$3:G68,G68),"000"),IF(G68="QAQC","QAQC-"&amp;TEXT(COUNTIF($G$3:G68,G68),"000"),IF(G68="HCGA","HCGA-"&amp;TEXT(COUNTIF($G$3:G68,G68),"000"),IF(G68="MAINTENANCE","MNT-"&amp;TEXT(COUNTIF($G$3:G68,G68),"000"),IF(G68="CIVIL","CIV-"&amp;TEXT(COUNTIF($G$3:G68,G68),"000"),IF(G68="GANIS","GAN-"&amp;TEXT(COUNTIF($G$3:G68,G68),"000"),IF(G68="ENGINEERING","ENG-"&amp;TEXT(COUNTIF($G$3:G68,G68),"000"),IF(G68="PRODUKSI","PRO-"&amp;TEXT(COUNTIF($G$3:G68,G68),"000"),IF(G68="SURVEY","SUR-"&amp;TEXT(COUNTIF($G$3:G68,G68),"000"),"")))))))))))</f>
        <v>EXP-065</v>
      </c>
      <c r="I68" s="2"/>
      <c r="J68" s="2"/>
    </row>
    <row r="69" spans="2:10" ht="15.5" customHeight="1">
      <c r="B69" s="4" t="s">
        <v>153</v>
      </c>
      <c r="C69" s="7" t="s">
        <v>145</v>
      </c>
      <c r="D69" s="47"/>
      <c r="E69" s="33" t="s">
        <v>14</v>
      </c>
      <c r="F69" s="34"/>
      <c r="G69" s="9" t="s">
        <v>10</v>
      </c>
      <c r="H69" s="1" t="str">
        <f>IF(G69="","",IF(G69="EKSPLORASI","EXP-"&amp;TEXT(COUNTIF($G$3:G69,G69),"000"),IF(G69="HSE","HSE-"&amp;TEXT(COUNTIF($G$3:G69,G69),"000"),IF(G69="QAQC","QAQC-"&amp;TEXT(COUNTIF($G$3:G69,G69),"000"),IF(G69="HCGA","HCGA-"&amp;TEXT(COUNTIF($G$3:G69,G69),"000"),IF(G69="MAINTENANCE","MNT-"&amp;TEXT(COUNTIF($G$3:G69,G69),"000"),IF(G69="CIVIL","CIV-"&amp;TEXT(COUNTIF($G$3:G69,G69),"000"),IF(G69="GANIS","GAN-"&amp;TEXT(COUNTIF($G$3:G69,G69),"000"),IF(G69="ENGINEERING","ENG-"&amp;TEXT(COUNTIF($G$3:G69,G69),"000"),IF(G69="PRODUKSI","PRO-"&amp;TEXT(COUNTIF($G$3:G69,G69),"000"),IF(G69="SURVEY","SUR-"&amp;TEXT(COUNTIF($G$3:G69,G69),"000"),"")))))))))))</f>
        <v>EXP-066</v>
      </c>
      <c r="I69" s="2"/>
      <c r="J69" s="2"/>
    </row>
    <row r="70" spans="2:10" ht="15.5" customHeight="1">
      <c r="B70" s="4" t="s">
        <v>155</v>
      </c>
      <c r="C70" s="7" t="s">
        <v>147</v>
      </c>
      <c r="D70" s="47">
        <v>4350000</v>
      </c>
      <c r="E70" s="33" t="s">
        <v>14</v>
      </c>
      <c r="F70" s="34" t="s">
        <v>1088</v>
      </c>
      <c r="G70" s="9" t="s">
        <v>10</v>
      </c>
      <c r="H70" s="1" t="str">
        <f>IF(G70="","",IF(G70="EKSPLORASI","EXP-"&amp;TEXT(COUNTIF($G$3:G70,G70),"000"),IF(G70="HSE","HSE-"&amp;TEXT(COUNTIF($G$3:G70,G70),"000"),IF(G70="QAQC","QAQC-"&amp;TEXT(COUNTIF($G$3:G70,G70),"000"),IF(G70="HCGA","HCGA-"&amp;TEXT(COUNTIF($G$3:G70,G70),"000"),IF(G70="MAINTENANCE","MNT-"&amp;TEXT(COUNTIF($G$3:G70,G70),"000"),IF(G70="CIVIL","CIV-"&amp;TEXT(COUNTIF($G$3:G70,G70),"000"),IF(G70="GANIS","GAN-"&amp;TEXT(COUNTIF($G$3:G70,G70),"000"),IF(G70="ENGINEERING","ENG-"&amp;TEXT(COUNTIF($G$3:G70,G70),"000"),IF(G70="PRODUKSI","PRO-"&amp;TEXT(COUNTIF($G$3:G70,G70),"000"),IF(G70="SURVEY","SUR-"&amp;TEXT(COUNTIF($G$3:G70,G70),"000"),"")))))))))))</f>
        <v>EXP-067</v>
      </c>
      <c r="I70" s="2"/>
      <c r="J70" s="2"/>
    </row>
    <row r="71" spans="2:10" ht="15.5" customHeight="1">
      <c r="B71" s="4" t="s">
        <v>157</v>
      </c>
      <c r="C71" s="7" t="s">
        <v>150</v>
      </c>
      <c r="D71" s="47">
        <v>120000</v>
      </c>
      <c r="E71" s="33" t="s">
        <v>14</v>
      </c>
      <c r="F71" s="34" t="s">
        <v>1092</v>
      </c>
      <c r="G71" s="9" t="s">
        <v>10</v>
      </c>
      <c r="H71" s="1" t="str">
        <f>IF(G71="","",IF(G71="EKSPLORASI","EXP-"&amp;TEXT(COUNTIF($G$3:G71,G71),"000"),IF(G71="HSE","HSE-"&amp;TEXT(COUNTIF($G$3:G71,G71),"000"),IF(G71="QAQC","QAQC-"&amp;TEXT(COUNTIF($G$3:G71,G71),"000"),IF(G71="HCGA","HCGA-"&amp;TEXT(COUNTIF($G$3:G71,G71),"000"),IF(G71="MAINTENANCE","MNT-"&amp;TEXT(COUNTIF($G$3:G71,G71),"000"),IF(G71="CIVIL","CIV-"&amp;TEXT(COUNTIF($G$3:G71,G71),"000"),IF(G71="GANIS","GAN-"&amp;TEXT(COUNTIF($G$3:G71,G71),"000"),IF(G71="ENGINEERING","ENG-"&amp;TEXT(COUNTIF($G$3:G71,G71),"000"),IF(G71="PRODUKSI","PRO-"&amp;TEXT(COUNTIF($G$3:G71,G71),"000"),IF(G71="SURVEY","SUR-"&amp;TEXT(COUNTIF($G$3:G71,G71),"000"),"")))))))))))</f>
        <v>EXP-068</v>
      </c>
      <c r="I71" s="2"/>
      <c r="J71" s="2"/>
    </row>
    <row r="72" spans="2:10" ht="15.5" customHeight="1">
      <c r="B72" s="4" t="s">
        <v>159</v>
      </c>
      <c r="C72" s="7" t="s">
        <v>152</v>
      </c>
      <c r="D72" s="47"/>
      <c r="E72" s="33" t="s">
        <v>14</v>
      </c>
      <c r="F72" s="34"/>
      <c r="G72" s="9" t="s">
        <v>10</v>
      </c>
      <c r="H72" s="1" t="str">
        <f>IF(G72="","",IF(G72="EKSPLORASI","EXP-"&amp;TEXT(COUNTIF($G$3:G72,G72),"000"),IF(G72="HSE","HSE-"&amp;TEXT(COUNTIF($G$3:G72,G72),"000"),IF(G72="QAQC","QAQC-"&amp;TEXT(COUNTIF($G$3:G72,G72),"000"),IF(G72="HCGA","HCGA-"&amp;TEXT(COUNTIF($G$3:G72,G72),"000"),IF(G72="MAINTENANCE","MNT-"&amp;TEXT(COUNTIF($G$3:G72,G72),"000"),IF(G72="CIVIL","CIV-"&amp;TEXT(COUNTIF($G$3:G72,G72),"000"),IF(G72="GANIS","GAN-"&amp;TEXT(COUNTIF($G$3:G72,G72),"000"),IF(G72="ENGINEERING","ENG-"&amp;TEXT(COUNTIF($G$3:G72,G72),"000"),IF(G72="PRODUKSI","PRO-"&amp;TEXT(COUNTIF($G$3:G72,G72),"000"),IF(G72="SURVEY","SUR-"&amp;TEXT(COUNTIF($G$3:G72,G72),"000"),"")))))))))))</f>
        <v>EXP-069</v>
      </c>
      <c r="I72" s="2"/>
      <c r="J72" s="2"/>
    </row>
    <row r="73" spans="2:10" ht="15.5" customHeight="1">
      <c r="B73" s="4" t="s">
        <v>161</v>
      </c>
      <c r="C73" s="7" t="s">
        <v>154</v>
      </c>
      <c r="D73" s="47"/>
      <c r="E73" s="33" t="s">
        <v>14</v>
      </c>
      <c r="F73" s="34"/>
      <c r="G73" s="9" t="s">
        <v>10</v>
      </c>
      <c r="H73" s="1" t="str">
        <f>IF(G73="","",IF(G73="EKSPLORASI","EXP-"&amp;TEXT(COUNTIF($G$3:G73,G73),"000"),IF(G73="HSE","HSE-"&amp;TEXT(COUNTIF($G$3:G73,G73),"000"),IF(G73="QAQC","QAQC-"&amp;TEXT(COUNTIF($G$3:G73,G73),"000"),IF(G73="HCGA","HCGA-"&amp;TEXT(COUNTIF($G$3:G73,G73),"000"),IF(G73="MAINTENANCE","MNT-"&amp;TEXT(COUNTIF($G$3:G73,G73),"000"),IF(G73="CIVIL","CIV-"&amp;TEXT(COUNTIF($G$3:G73,G73),"000"),IF(G73="GANIS","GAN-"&amp;TEXT(COUNTIF($G$3:G73,G73),"000"),IF(G73="ENGINEERING","ENG-"&amp;TEXT(COUNTIF($G$3:G73,G73),"000"),IF(G73="PRODUKSI","PRO-"&amp;TEXT(COUNTIF($G$3:G73,G73),"000"),IF(G73="SURVEY","SUR-"&amp;TEXT(COUNTIF($G$3:G73,G73),"000"),"")))))))))))</f>
        <v>EXP-070</v>
      </c>
      <c r="I73" s="2"/>
      <c r="J73" s="2"/>
    </row>
    <row r="74" spans="2:10" ht="15.5" customHeight="1">
      <c r="B74" s="4" t="s">
        <v>163</v>
      </c>
      <c r="C74" s="7" t="s">
        <v>156</v>
      </c>
      <c r="D74" s="47"/>
      <c r="E74" s="33" t="s">
        <v>14</v>
      </c>
      <c r="F74" s="34"/>
      <c r="G74" s="9" t="s">
        <v>10</v>
      </c>
      <c r="H74" s="1" t="str">
        <f>IF(G74="","",IF(G74="EKSPLORASI","EXP-"&amp;TEXT(COUNTIF($G$3:G74,G74),"000"),IF(G74="HSE","HSE-"&amp;TEXT(COUNTIF($G$3:G74,G74),"000"),IF(G74="QAQC","QAQC-"&amp;TEXT(COUNTIF($G$3:G74,G74),"000"),IF(G74="HCGA","HCGA-"&amp;TEXT(COUNTIF($G$3:G74,G74),"000"),IF(G74="MAINTENANCE","MNT-"&amp;TEXT(COUNTIF($G$3:G74,G74),"000"),IF(G74="CIVIL","CIV-"&amp;TEXT(COUNTIF($G$3:G74,G74),"000"),IF(G74="GANIS","GAN-"&amp;TEXT(COUNTIF($G$3:G74,G74),"000"),IF(G74="ENGINEERING","ENG-"&amp;TEXT(COUNTIF($G$3:G74,G74),"000"),IF(G74="PRODUKSI","PRO-"&amp;TEXT(COUNTIF($G$3:G74,G74),"000"),IF(G74="SURVEY","SUR-"&amp;TEXT(COUNTIF($G$3:G74,G74),"000"),"")))))))))))</f>
        <v>EXP-071</v>
      </c>
      <c r="I74" s="2"/>
      <c r="J74" s="2"/>
    </row>
    <row r="75" spans="2:10" ht="15.5" customHeight="1">
      <c r="B75" s="4" t="s">
        <v>165</v>
      </c>
      <c r="C75" s="7" t="s">
        <v>158</v>
      </c>
      <c r="D75" s="47"/>
      <c r="E75" s="33" t="s">
        <v>14</v>
      </c>
      <c r="F75" s="34"/>
      <c r="G75" s="9" t="s">
        <v>10</v>
      </c>
      <c r="H75" s="1" t="str">
        <f>IF(G75="","",IF(G75="EKSPLORASI","EXP-"&amp;TEXT(COUNTIF($G$3:G75,G75),"000"),IF(G75="HSE","HSE-"&amp;TEXT(COUNTIF($G$3:G75,G75),"000"),IF(G75="QAQC","QAQC-"&amp;TEXT(COUNTIF($G$3:G75,G75),"000"),IF(G75="HCGA","HCGA-"&amp;TEXT(COUNTIF($G$3:G75,G75),"000"),IF(G75="MAINTENANCE","MNT-"&amp;TEXT(COUNTIF($G$3:G75,G75),"000"),IF(G75="CIVIL","CIV-"&amp;TEXT(COUNTIF($G$3:G75,G75),"000"),IF(G75="GANIS","GAN-"&amp;TEXT(COUNTIF($G$3:G75,G75),"000"),IF(G75="ENGINEERING","ENG-"&amp;TEXT(COUNTIF($G$3:G75,G75),"000"),IF(G75="PRODUKSI","PRO-"&amp;TEXT(COUNTIF($G$3:G75,G75),"000"),IF(G75="SURVEY","SUR-"&amp;TEXT(COUNTIF($G$3:G75,G75),"000"),"")))))))))))</f>
        <v>EXP-072</v>
      </c>
      <c r="I75" s="2"/>
      <c r="J75" s="2"/>
    </row>
    <row r="76" spans="2:10" ht="15.5" customHeight="1">
      <c r="B76" s="4" t="s">
        <v>167</v>
      </c>
      <c r="C76" s="7" t="s">
        <v>160</v>
      </c>
      <c r="D76" s="47"/>
      <c r="E76" s="33" t="s">
        <v>14</v>
      </c>
      <c r="F76" s="34"/>
      <c r="G76" s="9" t="s">
        <v>10</v>
      </c>
      <c r="H76" s="1" t="str">
        <f>IF(G76="","",IF(G76="EKSPLORASI","EXP-"&amp;TEXT(COUNTIF($G$3:G76,G76),"000"),IF(G76="HSE","HSE-"&amp;TEXT(COUNTIF($G$3:G76,G76),"000"),IF(G76="QAQC","QAQC-"&amp;TEXT(COUNTIF($G$3:G76,G76),"000"),IF(G76="HCGA","HCGA-"&amp;TEXT(COUNTIF($G$3:G76,G76),"000"),IF(G76="MAINTENANCE","MNT-"&amp;TEXT(COUNTIF($G$3:G76,G76),"000"),IF(G76="CIVIL","CIV-"&amp;TEXT(COUNTIF($G$3:G76,G76),"000"),IF(G76="GANIS","GAN-"&amp;TEXT(COUNTIF($G$3:G76,G76),"000"),IF(G76="ENGINEERING","ENG-"&amp;TEXT(COUNTIF($G$3:G76,G76),"000"),IF(G76="PRODUKSI","PRO-"&amp;TEXT(COUNTIF($G$3:G76,G76),"000"),IF(G76="SURVEY","SUR-"&amp;TEXT(COUNTIF($G$3:G76,G76),"000"),"")))))))))))</f>
        <v>EXP-073</v>
      </c>
      <c r="I76" s="2"/>
      <c r="J76" s="2"/>
    </row>
    <row r="77" spans="2:10" ht="15.5" customHeight="1">
      <c r="B77" s="4" t="s">
        <v>169</v>
      </c>
      <c r="C77" s="7" t="s">
        <v>162</v>
      </c>
      <c r="D77" s="47"/>
      <c r="E77" s="33" t="s">
        <v>14</v>
      </c>
      <c r="F77" s="34"/>
      <c r="G77" s="9" t="s">
        <v>10</v>
      </c>
      <c r="H77" s="1" t="str">
        <f>IF(G77="","",IF(G77="EKSPLORASI","EXP-"&amp;TEXT(COUNTIF($G$3:G77,G77),"000"),IF(G77="HSE","HSE-"&amp;TEXT(COUNTIF($G$3:G77,G77),"000"),IF(G77="QAQC","QAQC-"&amp;TEXT(COUNTIF($G$3:G77,G77),"000"),IF(G77="HCGA","HCGA-"&amp;TEXT(COUNTIF($G$3:G77,G77),"000"),IF(G77="MAINTENANCE","MNT-"&amp;TEXT(COUNTIF($G$3:G77,G77),"000"),IF(G77="CIVIL","CIV-"&amp;TEXT(COUNTIF($G$3:G77,G77),"000"),IF(G77="GANIS","GAN-"&amp;TEXT(COUNTIF($G$3:G77,G77),"000"),IF(G77="ENGINEERING","ENG-"&amp;TEXT(COUNTIF($G$3:G77,G77),"000"),IF(G77="PRODUKSI","PRO-"&amp;TEXT(COUNTIF($G$3:G77,G77),"000"),IF(G77="SURVEY","SUR-"&amp;TEXT(COUNTIF($G$3:G77,G77),"000"),"")))))))))))</f>
        <v>EXP-074</v>
      </c>
      <c r="I77" s="2"/>
      <c r="J77" s="2"/>
    </row>
    <row r="78" spans="2:10" ht="15.5" customHeight="1">
      <c r="B78" s="4" t="s">
        <v>172</v>
      </c>
      <c r="C78" s="7" t="s">
        <v>164</v>
      </c>
      <c r="D78" s="47">
        <v>5000</v>
      </c>
      <c r="E78" s="33" t="s">
        <v>14</v>
      </c>
      <c r="F78" s="34" t="s">
        <v>1091</v>
      </c>
      <c r="G78" s="9" t="s">
        <v>10</v>
      </c>
      <c r="H78" s="1" t="str">
        <f>IF(G78="","",IF(G78="EKSPLORASI","EXP-"&amp;TEXT(COUNTIF($G$3:G78,G78),"000"),IF(G78="HSE","HSE-"&amp;TEXT(COUNTIF($G$3:G78,G78),"000"),IF(G78="QAQC","QAQC-"&amp;TEXT(COUNTIF($G$3:G78,G78),"000"),IF(G78="HCGA","HCGA-"&amp;TEXT(COUNTIF($G$3:G78,G78),"000"),IF(G78="MAINTENANCE","MNT-"&amp;TEXT(COUNTIF($G$3:G78,G78),"000"),IF(G78="CIVIL","CIV-"&amp;TEXT(COUNTIF($G$3:G78,G78),"000"),IF(G78="GANIS","GAN-"&amp;TEXT(COUNTIF($G$3:G78,G78),"000"),IF(G78="ENGINEERING","ENG-"&amp;TEXT(COUNTIF($G$3:G78,G78),"000"),IF(G78="PRODUKSI","PRO-"&amp;TEXT(COUNTIF($G$3:G78,G78),"000"),IF(G78="SURVEY","SUR-"&amp;TEXT(COUNTIF($G$3:G78,G78),"000"),"")))))))))))</f>
        <v>EXP-075</v>
      </c>
      <c r="I78" s="2"/>
      <c r="J78" s="2"/>
    </row>
    <row r="79" spans="2:10" ht="15.5" customHeight="1">
      <c r="B79" s="4" t="s">
        <v>174</v>
      </c>
      <c r="C79" s="7" t="s">
        <v>166</v>
      </c>
      <c r="D79" s="47">
        <v>5000</v>
      </c>
      <c r="E79" s="33" t="s">
        <v>14</v>
      </c>
      <c r="F79" s="34" t="s">
        <v>1091</v>
      </c>
      <c r="G79" s="9" t="s">
        <v>10</v>
      </c>
      <c r="H79" s="1" t="str">
        <f>IF(G79="","",IF(G79="EKSPLORASI","EXP-"&amp;TEXT(COUNTIF($G$3:G79,G79),"000"),IF(G79="HSE","HSE-"&amp;TEXT(COUNTIF($G$3:G79,G79),"000"),IF(G79="QAQC","QAQC-"&amp;TEXT(COUNTIF($G$3:G79,G79),"000"),IF(G79="HCGA","HCGA-"&amp;TEXT(COUNTIF($G$3:G79,G79),"000"),IF(G79="MAINTENANCE","MNT-"&amp;TEXT(COUNTIF($G$3:G79,G79),"000"),IF(G79="CIVIL","CIV-"&amp;TEXT(COUNTIF($G$3:G79,G79),"000"),IF(G79="GANIS","GAN-"&amp;TEXT(COUNTIF($G$3:G79,G79),"000"),IF(G79="ENGINEERING","ENG-"&amp;TEXT(COUNTIF($G$3:G79,G79),"000"),IF(G79="PRODUKSI","PRO-"&amp;TEXT(COUNTIF($G$3:G79,G79),"000"),IF(G79="SURVEY","SUR-"&amp;TEXT(COUNTIF($G$3:G79,G79),"000"),"")))))))))))</f>
        <v>EXP-076</v>
      </c>
      <c r="I79" s="2"/>
      <c r="J79" s="2"/>
    </row>
    <row r="80" spans="2:10" ht="15.5" customHeight="1">
      <c r="B80" s="4" t="s">
        <v>176</v>
      </c>
      <c r="C80" s="7" t="s">
        <v>168</v>
      </c>
      <c r="D80" s="47">
        <v>5000</v>
      </c>
      <c r="E80" s="33" t="s">
        <v>25</v>
      </c>
      <c r="F80" s="34" t="s">
        <v>1091</v>
      </c>
      <c r="G80" s="9" t="s">
        <v>10</v>
      </c>
      <c r="H80" s="1" t="str">
        <f>IF(G80="","",IF(G80="EKSPLORASI","EXP-"&amp;TEXT(COUNTIF($G$3:G80,G80),"000"),IF(G80="HSE","HSE-"&amp;TEXT(COUNTIF($G$3:G80,G80),"000"),IF(G80="QAQC","QAQC-"&amp;TEXT(COUNTIF($G$3:G80,G80),"000"),IF(G80="HCGA","HCGA-"&amp;TEXT(COUNTIF($G$3:G80,G80),"000"),IF(G80="MAINTENANCE","MNT-"&amp;TEXT(COUNTIF($G$3:G80,G80),"000"),IF(G80="CIVIL","CIV-"&amp;TEXT(COUNTIF($G$3:G80,G80),"000"),IF(G80="GANIS","GAN-"&amp;TEXT(COUNTIF($G$3:G80,G80),"000"),IF(G80="ENGINEERING","ENG-"&amp;TEXT(COUNTIF($G$3:G80,G80),"000"),IF(G80="PRODUKSI","PRO-"&amp;TEXT(COUNTIF($G$3:G80,G80),"000"),IF(G80="SURVEY","SUR-"&amp;TEXT(COUNTIF($G$3:G80,G80),"000"),"")))))))))))</f>
        <v>EXP-077</v>
      </c>
      <c r="I80" s="2"/>
      <c r="J80" s="2"/>
    </row>
    <row r="81" spans="2:10" ht="15.5" customHeight="1">
      <c r="B81" s="4" t="s">
        <v>178</v>
      </c>
      <c r="C81" s="7" t="s">
        <v>170</v>
      </c>
      <c r="D81" s="47"/>
      <c r="E81" s="33" t="s">
        <v>43</v>
      </c>
      <c r="F81" s="34"/>
      <c r="G81" s="9" t="s">
        <v>10</v>
      </c>
      <c r="H81" s="1" t="str">
        <f>IF(G81="","",IF(G81="EKSPLORASI","EXP-"&amp;TEXT(COUNTIF($G$3:G81,G81),"000"),IF(G81="HSE","HSE-"&amp;TEXT(COUNTIF($G$3:G81,G81),"000"),IF(G81="QAQC","QAQC-"&amp;TEXT(COUNTIF($G$3:G81,G81),"000"),IF(G81="HCGA","HCGA-"&amp;TEXT(COUNTIF($G$3:G81,G81),"000"),IF(G81="MAINTENANCE","MNT-"&amp;TEXT(COUNTIF($G$3:G81,G81),"000"),IF(G81="CIVIL","CIV-"&amp;TEXT(COUNTIF($G$3:G81,G81),"000"),IF(G81="GANIS","GAN-"&amp;TEXT(COUNTIF($G$3:G81,G81),"000"),IF(G81="ENGINEERING","ENG-"&amp;TEXT(COUNTIF($G$3:G81,G81),"000"),IF(G81="PRODUKSI","PRO-"&amp;TEXT(COUNTIF($G$3:G81,G81),"000"),IF(G81="SURVEY","SUR-"&amp;TEXT(COUNTIF($G$3:G81,G81),"000"),"")))))))))))</f>
        <v>EXP-078</v>
      </c>
      <c r="I81" s="2"/>
      <c r="J81" s="2"/>
    </row>
    <row r="82" spans="2:10" ht="15.5" customHeight="1">
      <c r="B82" s="4" t="s">
        <v>181</v>
      </c>
      <c r="C82" s="7" t="s">
        <v>173</v>
      </c>
      <c r="D82" s="47"/>
      <c r="E82" s="33" t="s">
        <v>43</v>
      </c>
      <c r="F82" s="34"/>
      <c r="G82" s="9" t="s">
        <v>10</v>
      </c>
      <c r="H82" s="1" t="str">
        <f>IF(G82="","",IF(G82="EKSPLORASI","EXP-"&amp;TEXT(COUNTIF($G$3:G82,G82),"000"),IF(G82="HSE","HSE-"&amp;TEXT(COUNTIF($G$3:G82,G82),"000"),IF(G82="QAQC","QAQC-"&amp;TEXT(COUNTIF($G$3:G82,G82),"000"),IF(G82="HCGA","HCGA-"&amp;TEXT(COUNTIF($G$3:G82,G82),"000"),IF(G82="MAINTENANCE","MNT-"&amp;TEXT(COUNTIF($G$3:G82,G82),"000"),IF(G82="CIVIL","CIV-"&amp;TEXT(COUNTIF($G$3:G82,G82),"000"),IF(G82="GANIS","GAN-"&amp;TEXT(COUNTIF($G$3:G82,G82),"000"),IF(G82="ENGINEERING","ENG-"&amp;TEXT(COUNTIF($G$3:G82,G82),"000"),IF(G82="PRODUKSI","PRO-"&amp;TEXT(COUNTIF($G$3:G82,G82),"000"),IF(G82="SURVEY","SUR-"&amp;TEXT(COUNTIF($G$3:G82,G82),"000"),"")))))))))))</f>
        <v>EXP-079</v>
      </c>
      <c r="I82" s="2"/>
      <c r="J82" s="2"/>
    </row>
    <row r="83" spans="2:10" ht="15.5" customHeight="1">
      <c r="B83" s="4" t="s">
        <v>184</v>
      </c>
      <c r="C83" s="7" t="s">
        <v>175</v>
      </c>
      <c r="D83" s="47"/>
      <c r="E83" s="33" t="s">
        <v>14</v>
      </c>
      <c r="F83" s="34"/>
      <c r="G83" s="9" t="s">
        <v>10</v>
      </c>
      <c r="H83" s="1" t="str">
        <f>IF(G83="","",IF(G83="EKSPLORASI","EXP-"&amp;TEXT(COUNTIF($G$3:G83,G83),"000"),IF(G83="HSE","HSE-"&amp;TEXT(COUNTIF($G$3:G83,G83),"000"),IF(G83="QAQC","QAQC-"&amp;TEXT(COUNTIF($G$3:G83,G83),"000"),IF(G83="HCGA","HCGA-"&amp;TEXT(COUNTIF($G$3:G83,G83),"000"),IF(G83="MAINTENANCE","MNT-"&amp;TEXT(COUNTIF($G$3:G83,G83),"000"),IF(G83="CIVIL","CIV-"&amp;TEXT(COUNTIF($G$3:G83,G83),"000"),IF(G83="GANIS","GAN-"&amp;TEXT(COUNTIF($G$3:G83,G83),"000"),IF(G83="ENGINEERING","ENG-"&amp;TEXT(COUNTIF($G$3:G83,G83),"000"),IF(G83="PRODUKSI","PRO-"&amp;TEXT(COUNTIF($G$3:G83,G83),"000"),IF(G83="SURVEY","SUR-"&amp;TEXT(COUNTIF($G$3:G83,G83),"000"),"")))))))))))</f>
        <v>EXP-080</v>
      </c>
      <c r="I83" s="2"/>
      <c r="J83" s="2"/>
    </row>
    <row r="84" spans="2:10" ht="15.5" customHeight="1">
      <c r="B84" s="4" t="s">
        <v>186</v>
      </c>
      <c r="C84" s="7" t="s">
        <v>177</v>
      </c>
      <c r="D84" s="47"/>
      <c r="E84" s="33" t="s">
        <v>180</v>
      </c>
      <c r="F84" s="34"/>
      <c r="G84" s="9" t="s">
        <v>10</v>
      </c>
      <c r="H84" s="1" t="str">
        <f>IF(G84="","",IF(G84="EKSPLORASI","EXP-"&amp;TEXT(COUNTIF($G$3:G84,G84),"000"),IF(G84="HSE","HSE-"&amp;TEXT(COUNTIF($G$3:G84,G84),"000"),IF(G84="QAQC","QAQC-"&amp;TEXT(COUNTIF($G$3:G84,G84),"000"),IF(G84="HCGA","HCGA-"&amp;TEXT(COUNTIF($G$3:G84,G84),"000"),IF(G84="MAINTENANCE","MNT-"&amp;TEXT(COUNTIF($G$3:G84,G84),"000"),IF(G84="CIVIL","CIV-"&amp;TEXT(COUNTIF($G$3:G84,G84),"000"),IF(G84="GANIS","GAN-"&amp;TEXT(COUNTIF($G$3:G84,G84),"000"),IF(G84="ENGINEERING","ENG-"&amp;TEXT(COUNTIF($G$3:G84,G84),"000"),IF(G84="PRODUKSI","PRO-"&amp;TEXT(COUNTIF($G$3:G84,G84),"000"),IF(G84="SURVEY","SUR-"&amp;TEXT(COUNTIF($G$3:G84,G84),"000"),"")))))))))))</f>
        <v>EXP-081</v>
      </c>
      <c r="I84" s="2"/>
      <c r="J84" s="2"/>
    </row>
    <row r="85" spans="2:10" ht="15.5" customHeight="1">
      <c r="B85" s="4" t="s">
        <v>188</v>
      </c>
      <c r="C85" s="7" t="s">
        <v>179</v>
      </c>
      <c r="D85" s="47"/>
      <c r="E85" s="33" t="s">
        <v>183</v>
      </c>
      <c r="F85" s="34"/>
      <c r="G85" s="9" t="s">
        <v>10</v>
      </c>
      <c r="H85" s="1" t="str">
        <f>IF(G85="","",IF(G85="EKSPLORASI","EXP-"&amp;TEXT(COUNTIF($G$3:G85,G85),"000"),IF(G85="HSE","HSE-"&amp;TEXT(COUNTIF($G$3:G85,G85),"000"),IF(G85="QAQC","QAQC-"&amp;TEXT(COUNTIF($G$3:G85,G85),"000"),IF(G85="HCGA","HCGA-"&amp;TEXT(COUNTIF($G$3:G85,G85),"000"),IF(G85="MAINTENANCE","MNT-"&amp;TEXT(COUNTIF($G$3:G85,G85),"000"),IF(G85="CIVIL","CIV-"&amp;TEXT(COUNTIF($G$3:G85,G85),"000"),IF(G85="GANIS","GAN-"&amp;TEXT(COUNTIF($G$3:G85,G85),"000"),IF(G85="ENGINEERING","ENG-"&amp;TEXT(COUNTIF($G$3:G85,G85),"000"),IF(G85="PRODUKSI","PRO-"&amp;TEXT(COUNTIF($G$3:G85,G85),"000"),IF(G85="SURVEY","SUR-"&amp;TEXT(COUNTIF($G$3:G85,G85),"000"),"")))))))))))</f>
        <v>EXP-082</v>
      </c>
      <c r="I85" s="2"/>
      <c r="J85" s="2"/>
    </row>
    <row r="86" spans="2:10" ht="15.5" customHeight="1">
      <c r="B86" s="4" t="s">
        <v>190</v>
      </c>
      <c r="C86" s="7" t="s">
        <v>182</v>
      </c>
      <c r="D86" s="47">
        <v>50000</v>
      </c>
      <c r="E86" s="33" t="s">
        <v>183</v>
      </c>
      <c r="F86" s="34"/>
      <c r="G86" s="9" t="s">
        <v>10</v>
      </c>
      <c r="H86" s="1" t="str">
        <f>IF(G86="","",IF(G86="EKSPLORASI","EXP-"&amp;TEXT(COUNTIF($G$3:G86,G86),"000"),IF(G86="HSE","HSE-"&amp;TEXT(COUNTIF($G$3:G86,G86),"000"),IF(G86="QAQC","QAQC-"&amp;TEXT(COUNTIF($G$3:G86,G86),"000"),IF(G86="HCGA","HCGA-"&amp;TEXT(COUNTIF($G$3:G86,G86),"000"),IF(G86="MAINTENANCE","MNT-"&amp;TEXT(COUNTIF($G$3:G86,G86),"000"),IF(G86="CIVIL","CIV-"&amp;TEXT(COUNTIF($G$3:G86,G86),"000"),IF(G86="GANIS","GAN-"&amp;TEXT(COUNTIF($G$3:G86,G86),"000"),IF(G86="ENGINEERING","ENG-"&amp;TEXT(COUNTIF($G$3:G86,G86),"000"),IF(G86="PRODUKSI","PRO-"&amp;TEXT(COUNTIF($G$3:G86,G86),"000"),IF(G86="SURVEY","SUR-"&amp;TEXT(COUNTIF($G$3:G86,G86),"000"),"")))))))))))</f>
        <v>EXP-083</v>
      </c>
      <c r="I86" s="2"/>
      <c r="J86" s="2"/>
    </row>
    <row r="87" spans="2:10" ht="15.5" customHeight="1">
      <c r="B87" s="4" t="s">
        <v>192</v>
      </c>
      <c r="C87" s="7" t="s">
        <v>185</v>
      </c>
      <c r="D87" s="47"/>
      <c r="E87" s="33" t="s">
        <v>14</v>
      </c>
      <c r="F87" s="34"/>
      <c r="G87" s="9" t="s">
        <v>10</v>
      </c>
      <c r="H87" s="1" t="str">
        <f>IF(G87="","",IF(G87="EKSPLORASI","EXP-"&amp;TEXT(COUNTIF($G$3:G87,G87),"000"),IF(G87="HSE","HSE-"&amp;TEXT(COUNTIF($G$3:G87,G87),"000"),IF(G87="QAQC","QAQC-"&amp;TEXT(COUNTIF($G$3:G87,G87),"000"),IF(G87="HCGA","HCGA-"&amp;TEXT(COUNTIF($G$3:G87,G87),"000"),IF(G87="MAINTENANCE","MNT-"&amp;TEXT(COUNTIF($G$3:G87,G87),"000"),IF(G87="CIVIL","CIV-"&amp;TEXT(COUNTIF($G$3:G87,G87),"000"),IF(G87="GANIS","GAN-"&amp;TEXT(COUNTIF($G$3:G87,G87),"000"),IF(G87="ENGINEERING","ENG-"&amp;TEXT(COUNTIF($G$3:G87,G87),"000"),IF(G87="PRODUKSI","PRO-"&amp;TEXT(COUNTIF($G$3:G87,G87),"000"),IF(G87="SURVEY","SUR-"&amp;TEXT(COUNTIF($G$3:G87,G87),"000"),"")))))))))))</f>
        <v>EXP-084</v>
      </c>
      <c r="I87" s="2"/>
      <c r="J87" s="2"/>
    </row>
    <row r="88" spans="2:10" ht="15.5" customHeight="1">
      <c r="B88" s="4" t="s">
        <v>194</v>
      </c>
      <c r="C88" s="7" t="s">
        <v>187</v>
      </c>
      <c r="D88" s="47"/>
      <c r="E88" s="33" t="s">
        <v>14</v>
      </c>
      <c r="F88" s="34"/>
      <c r="G88" s="9" t="s">
        <v>10</v>
      </c>
      <c r="H88" s="1" t="str">
        <f>IF(G88="","",IF(G88="EKSPLORASI","EXP-"&amp;TEXT(COUNTIF($G$3:G88,G88),"000"),IF(G88="HSE","HSE-"&amp;TEXT(COUNTIF($G$3:G88,G88),"000"),IF(G88="QAQC","QAQC-"&amp;TEXT(COUNTIF($G$3:G88,G88),"000"),IF(G88="HCGA","HCGA-"&amp;TEXT(COUNTIF($G$3:G88,G88),"000"),IF(G88="MAINTENANCE","MNT-"&amp;TEXT(COUNTIF($G$3:G88,G88),"000"),IF(G88="CIVIL","CIV-"&amp;TEXT(COUNTIF($G$3:G88,G88),"000"),IF(G88="GANIS","GAN-"&amp;TEXT(COUNTIF($G$3:G88,G88),"000"),IF(G88="ENGINEERING","ENG-"&amp;TEXT(COUNTIF($G$3:G88,G88),"000"),IF(G88="PRODUKSI","PRO-"&amp;TEXT(COUNTIF($G$3:G88,G88),"000"),IF(G88="SURVEY","SUR-"&amp;TEXT(COUNTIF($G$3:G88,G88),"000"),"")))))))))))</f>
        <v>EXP-085</v>
      </c>
      <c r="I88" s="2"/>
      <c r="J88" s="2"/>
    </row>
    <row r="89" spans="2:10" ht="15.5" customHeight="1">
      <c r="B89" s="4" t="s">
        <v>196</v>
      </c>
      <c r="C89" s="7" t="s">
        <v>189</v>
      </c>
      <c r="D89" s="47"/>
      <c r="E89" s="33" t="s">
        <v>14</v>
      </c>
      <c r="F89" s="34"/>
      <c r="G89" s="9" t="s">
        <v>10</v>
      </c>
      <c r="H89" s="1" t="str">
        <f>IF(G89="","",IF(G89="EKSPLORASI","EXP-"&amp;TEXT(COUNTIF($G$3:G89,G89),"000"),IF(G89="HSE","HSE-"&amp;TEXT(COUNTIF($G$3:G89,G89),"000"),IF(G89="QAQC","QAQC-"&amp;TEXT(COUNTIF($G$3:G89,G89),"000"),IF(G89="HCGA","HCGA-"&amp;TEXT(COUNTIF($G$3:G89,G89),"000"),IF(G89="MAINTENANCE","MNT-"&amp;TEXT(COUNTIF($G$3:G89,G89),"000"),IF(G89="CIVIL","CIV-"&amp;TEXT(COUNTIF($G$3:G89,G89),"000"),IF(G89="GANIS","GAN-"&amp;TEXT(COUNTIF($G$3:G89,G89),"000"),IF(G89="ENGINEERING","ENG-"&amp;TEXT(COUNTIF($G$3:G89,G89),"000"),IF(G89="PRODUKSI","PRO-"&amp;TEXT(COUNTIF($G$3:G89,G89),"000"),IF(G89="SURVEY","SUR-"&amp;TEXT(COUNTIF($G$3:G89,G89),"000"),"")))))))))))</f>
        <v>EXP-086</v>
      </c>
      <c r="I89" s="2"/>
      <c r="J89" s="2"/>
    </row>
    <row r="90" spans="2:10" ht="15.5" customHeight="1">
      <c r="B90" s="4" t="s">
        <v>198</v>
      </c>
      <c r="C90" s="7" t="s">
        <v>191</v>
      </c>
      <c r="D90" s="47"/>
      <c r="E90" s="33" t="s">
        <v>14</v>
      </c>
      <c r="F90" s="34"/>
      <c r="G90" s="9" t="s">
        <v>10</v>
      </c>
      <c r="H90" s="1" t="str">
        <f>IF(G90="","",IF(G90="EKSPLORASI","EXP-"&amp;TEXT(COUNTIF($G$3:G90,G90),"000"),IF(G90="HSE","HSE-"&amp;TEXT(COUNTIF($G$3:G90,G90),"000"),IF(G90="QAQC","QAQC-"&amp;TEXT(COUNTIF($G$3:G90,G90),"000"),IF(G90="HCGA","HCGA-"&amp;TEXT(COUNTIF($G$3:G90,G90),"000"),IF(G90="MAINTENANCE","MNT-"&amp;TEXT(COUNTIF($G$3:G90,G90),"000"),IF(G90="CIVIL","CIV-"&amp;TEXT(COUNTIF($G$3:G90,G90),"000"),IF(G90="GANIS","GAN-"&amp;TEXT(COUNTIF($G$3:G90,G90),"000"),IF(G90="ENGINEERING","ENG-"&amp;TEXT(COUNTIF($G$3:G90,G90),"000"),IF(G90="PRODUKSI","PRO-"&amp;TEXT(COUNTIF($G$3:G90,G90),"000"),IF(G90="SURVEY","SUR-"&amp;TEXT(COUNTIF($G$3:G90,G90),"000"),"")))))))))))</f>
        <v>EXP-087</v>
      </c>
      <c r="I90" s="2"/>
      <c r="J90" s="2"/>
    </row>
    <row r="91" spans="2:10" ht="15.5" customHeight="1">
      <c r="B91" s="4" t="s">
        <v>200</v>
      </c>
      <c r="C91" s="7" t="s">
        <v>193</v>
      </c>
      <c r="D91" s="47"/>
      <c r="E91" s="33" t="s">
        <v>14</v>
      </c>
      <c r="F91" s="34"/>
      <c r="G91" s="9" t="s">
        <v>10</v>
      </c>
      <c r="H91" s="1" t="str">
        <f>IF(G91="","",IF(G91="EKSPLORASI","EXP-"&amp;TEXT(COUNTIF($G$3:G91,G91),"000"),IF(G91="HSE","HSE-"&amp;TEXT(COUNTIF($G$3:G91,G91),"000"),IF(G91="QAQC","QAQC-"&amp;TEXT(COUNTIF($G$3:G91,G91),"000"),IF(G91="HCGA","HCGA-"&amp;TEXT(COUNTIF($G$3:G91,G91),"000"),IF(G91="MAINTENANCE","MNT-"&amp;TEXT(COUNTIF($G$3:G91,G91),"000"),IF(G91="CIVIL","CIV-"&amp;TEXT(COUNTIF($G$3:G91,G91),"000"),IF(G91="GANIS","GAN-"&amp;TEXT(COUNTIF($G$3:G91,G91),"000"),IF(G91="ENGINEERING","ENG-"&amp;TEXT(COUNTIF($G$3:G91,G91),"000"),IF(G91="PRODUKSI","PRO-"&amp;TEXT(COUNTIF($G$3:G91,G91),"000"),IF(G91="SURVEY","SUR-"&amp;TEXT(COUNTIF($G$3:G91,G91),"000"),"")))))))))))</f>
        <v>EXP-088</v>
      </c>
      <c r="I91" s="2"/>
      <c r="J91" s="2"/>
    </row>
    <row r="92" spans="2:10" ht="15.5" customHeight="1">
      <c r="B92" s="4" t="s">
        <v>202</v>
      </c>
      <c r="C92" s="7" t="s">
        <v>195</v>
      </c>
      <c r="D92" s="47"/>
      <c r="E92" s="33" t="s">
        <v>14</v>
      </c>
      <c r="F92" s="34"/>
      <c r="G92" s="9" t="s">
        <v>10</v>
      </c>
      <c r="H92" s="1" t="str">
        <f>IF(G92="","",IF(G92="EKSPLORASI","EXP-"&amp;TEXT(COUNTIF($G$3:G92,G92),"000"),IF(G92="HSE","HSE-"&amp;TEXT(COUNTIF($G$3:G92,G92),"000"),IF(G92="QAQC","QAQC-"&amp;TEXT(COUNTIF($G$3:G92,G92),"000"),IF(G92="HCGA","HCGA-"&amp;TEXT(COUNTIF($G$3:G92,G92),"000"),IF(G92="MAINTENANCE","MNT-"&amp;TEXT(COUNTIF($G$3:G92,G92),"000"),IF(G92="CIVIL","CIV-"&amp;TEXT(COUNTIF($G$3:G92,G92),"000"),IF(G92="GANIS","GAN-"&amp;TEXT(COUNTIF($G$3:G92,G92),"000"),IF(G92="ENGINEERING","ENG-"&amp;TEXT(COUNTIF($G$3:G92,G92),"000"),IF(G92="PRODUKSI","PRO-"&amp;TEXT(COUNTIF($G$3:G92,G92),"000"),IF(G92="SURVEY","SUR-"&amp;TEXT(COUNTIF($G$3:G92,G92),"000"),"")))))))))))</f>
        <v>EXP-089</v>
      </c>
      <c r="I92" s="2"/>
      <c r="J92" s="2"/>
    </row>
    <row r="93" spans="2:10" ht="15.5" customHeight="1">
      <c r="B93" s="4" t="s">
        <v>204</v>
      </c>
      <c r="C93" s="7" t="s">
        <v>197</v>
      </c>
      <c r="D93" s="47">
        <v>150000</v>
      </c>
      <c r="E93" s="33" t="s">
        <v>63</v>
      </c>
      <c r="F93" s="34" t="s">
        <v>1093</v>
      </c>
      <c r="G93" s="9" t="s">
        <v>10</v>
      </c>
      <c r="H93" s="1" t="str">
        <f>IF(G93="","",IF(G93="EKSPLORASI","EXP-"&amp;TEXT(COUNTIF($G$3:G93,G93),"000"),IF(G93="HSE","HSE-"&amp;TEXT(COUNTIF($G$3:G93,G93),"000"),IF(G93="QAQC","QAQC-"&amp;TEXT(COUNTIF($G$3:G93,G93),"000"),IF(G93="HCGA","HCGA-"&amp;TEXT(COUNTIF($G$3:G93,G93),"000"),IF(G93="MAINTENANCE","MNT-"&amp;TEXT(COUNTIF($G$3:G93,G93),"000"),IF(G93="CIVIL","CIV-"&amp;TEXT(COUNTIF($G$3:G93,G93),"000"),IF(G93="GANIS","GAN-"&amp;TEXT(COUNTIF($G$3:G93,G93),"000"),IF(G93="ENGINEERING","ENG-"&amp;TEXT(COUNTIF($G$3:G93,G93),"000"),IF(G93="PRODUKSI","PRO-"&amp;TEXT(COUNTIF($G$3:G93,G93),"000"),IF(G93="SURVEY","SUR-"&amp;TEXT(COUNTIF($G$3:G93,G93),"000"),"")))))))))))</f>
        <v>EXP-090</v>
      </c>
      <c r="I93" s="2"/>
      <c r="J93" s="2"/>
    </row>
    <row r="94" spans="2:10" ht="15.5" customHeight="1">
      <c r="B94" s="4" t="s">
        <v>206</v>
      </c>
      <c r="C94" s="7" t="s">
        <v>199</v>
      </c>
      <c r="D94" s="47"/>
      <c r="E94" s="33" t="s">
        <v>46</v>
      </c>
      <c r="F94" s="34"/>
      <c r="G94" s="9" t="s">
        <v>10</v>
      </c>
      <c r="H94" s="1" t="str">
        <f>IF(G94="","",IF(G94="EKSPLORASI","EXP-"&amp;TEXT(COUNTIF($G$3:G94,G94),"000"),IF(G94="HSE","HSE-"&amp;TEXT(COUNTIF($G$3:G94,G94),"000"),IF(G94="QAQC","QAQC-"&amp;TEXT(COUNTIF($G$3:G94,G94),"000"),IF(G94="HCGA","HCGA-"&amp;TEXT(COUNTIF($G$3:G94,G94),"000"),IF(G94="MAINTENANCE","MNT-"&amp;TEXT(COUNTIF($G$3:G94,G94),"000"),IF(G94="CIVIL","CIV-"&amp;TEXT(COUNTIF($G$3:G94,G94),"000"),IF(G94="GANIS","GAN-"&amp;TEXT(COUNTIF($G$3:G94,G94),"000"),IF(G94="ENGINEERING","ENG-"&amp;TEXT(COUNTIF($G$3:G94,G94),"000"),IF(G94="PRODUKSI","PRO-"&amp;TEXT(COUNTIF($G$3:G94,G94),"000"),IF(G94="SURVEY","SUR-"&amp;TEXT(COUNTIF($G$3:G94,G94),"000"),"")))))))))))</f>
        <v>EXP-091</v>
      </c>
      <c r="I94" s="2"/>
      <c r="J94" s="2"/>
    </row>
    <row r="95" spans="2:10" ht="15.5" customHeight="1">
      <c r="B95" s="4" t="s">
        <v>208</v>
      </c>
      <c r="C95" s="7" t="s">
        <v>201</v>
      </c>
      <c r="D95" s="47"/>
      <c r="E95" s="33" t="s">
        <v>132</v>
      </c>
      <c r="F95" s="38"/>
      <c r="G95" s="9" t="s">
        <v>10</v>
      </c>
      <c r="H95" s="1" t="str">
        <f>IF(G95="","",IF(G95="EKSPLORASI","EXP-"&amp;TEXT(COUNTIF($G$3:G95,G95),"000"),IF(G95="HSE","HSE-"&amp;TEXT(COUNTIF($G$3:G95,G95),"000"),IF(G95="QAQC","QAQC-"&amp;TEXT(COUNTIF($G$3:G95,G95),"000"),IF(G95="HCGA","HCGA-"&amp;TEXT(COUNTIF($G$3:G95,G95),"000"),IF(G95="MAINTENANCE","MNT-"&amp;TEXT(COUNTIF($G$3:G95,G95),"000"),IF(G95="CIVIL","CIV-"&amp;TEXT(COUNTIF($G$3:G95,G95),"000"),IF(G95="GANIS","GAN-"&amp;TEXT(COUNTIF($G$3:G95,G95),"000"),IF(G95="ENGINEERING","ENG-"&amp;TEXT(COUNTIF($G$3:G95,G95),"000"),IF(G95="PRODUKSI","PRO-"&amp;TEXT(COUNTIF($G$3:G95,G95),"000"),IF(G95="SURVEY","SUR-"&amp;TEXT(COUNTIF($G$3:G95,G95),"000"),"")))))))))))</f>
        <v>EXP-092</v>
      </c>
      <c r="I95" s="2"/>
      <c r="J95" s="2"/>
    </row>
    <row r="96" spans="2:10" ht="15.5" customHeight="1">
      <c r="B96" s="4" t="s">
        <v>210</v>
      </c>
      <c r="C96" s="7" t="s">
        <v>203</v>
      </c>
      <c r="D96" s="36"/>
      <c r="E96" s="33" t="s">
        <v>46</v>
      </c>
      <c r="F96" s="39"/>
      <c r="G96" s="9" t="s">
        <v>10</v>
      </c>
      <c r="H96" s="1" t="str">
        <f>IF(G96="","",IF(G96="EKSPLORASI","EXP-"&amp;TEXT(COUNTIF($G$3:G96,G96),"000"),IF(G96="HSE","HSE-"&amp;TEXT(COUNTIF($G$3:G96,G96),"000"),IF(G96="QAQC","QAQC-"&amp;TEXT(COUNTIF($G$3:G96,G96),"000"),IF(G96="HCGA","HCGA-"&amp;TEXT(COUNTIF($G$3:G96,G96),"000"),IF(G96="MAINTENANCE","MNT-"&amp;TEXT(COUNTIF($G$3:G96,G96),"000"),IF(G96="CIVIL","CIV-"&amp;TEXT(COUNTIF($G$3:G96,G96),"000"),IF(G96="GANIS","GAN-"&amp;TEXT(COUNTIF($G$3:G96,G96),"000"),IF(G96="ENGINEERING","ENG-"&amp;TEXT(COUNTIF($G$3:G96,G96),"000"),IF(G96="PRODUKSI","PRO-"&amp;TEXT(COUNTIF($G$3:G96,G96),"000"),IF(G96="SURVEY","SUR-"&amp;TEXT(COUNTIF($G$3:G96,G96),"000"),"")))))))))))</f>
        <v>EXP-093</v>
      </c>
      <c r="I96" s="2"/>
      <c r="J96" s="2"/>
    </row>
    <row r="97" spans="2:10" ht="15.5" customHeight="1">
      <c r="B97" s="4" t="s">
        <v>212</v>
      </c>
      <c r="C97" s="7" t="s">
        <v>205</v>
      </c>
      <c r="D97" s="36"/>
      <c r="E97" s="33" t="s">
        <v>79</v>
      </c>
      <c r="F97" s="39"/>
      <c r="G97" s="9" t="s">
        <v>10</v>
      </c>
      <c r="H97" s="1" t="str">
        <f>IF(G97="","",IF(G97="EKSPLORASI","EXP-"&amp;TEXT(COUNTIF($G$3:G97,G97),"000"),IF(G97="HSE","HSE-"&amp;TEXT(COUNTIF($G$3:G97,G97),"000"),IF(G97="QAQC","QAQC-"&amp;TEXT(COUNTIF($G$3:G97,G97),"000"),IF(G97="HCGA","HCGA-"&amp;TEXT(COUNTIF($G$3:G97,G97),"000"),IF(G97="MAINTENANCE","MNT-"&amp;TEXT(COUNTIF($G$3:G97,G97),"000"),IF(G97="CIVIL","CIV-"&amp;TEXT(COUNTIF($G$3:G97,G97),"000"),IF(G97="GANIS","GAN-"&amp;TEXT(COUNTIF($G$3:G97,G97),"000"),IF(G97="ENGINEERING","ENG-"&amp;TEXT(COUNTIF($G$3:G97,G97),"000"),IF(G97="PRODUKSI","PRO-"&amp;TEXT(COUNTIF($G$3:G97,G97),"000"),IF(G97="SURVEY","SUR-"&amp;TEXT(COUNTIF($G$3:G97,G97),"000"),"")))))))))))</f>
        <v>EXP-094</v>
      </c>
      <c r="I97" s="2"/>
      <c r="J97" s="2"/>
    </row>
    <row r="98" spans="2:10" ht="15.5" customHeight="1">
      <c r="B98" s="4" t="s">
        <v>214</v>
      </c>
      <c r="C98" s="7" t="s">
        <v>207</v>
      </c>
      <c r="D98" s="36"/>
      <c r="E98" s="33" t="s">
        <v>79</v>
      </c>
      <c r="F98" s="39"/>
      <c r="G98" s="9" t="s">
        <v>10</v>
      </c>
      <c r="H98" s="1" t="str">
        <f>IF(G98="","",IF(G98="EKSPLORASI","EXP-"&amp;TEXT(COUNTIF($G$3:G98,G98),"000"),IF(G98="HSE","HSE-"&amp;TEXT(COUNTIF($G$3:G98,G98),"000"),IF(G98="QAQC","QAQC-"&amp;TEXT(COUNTIF($G$3:G98,G98),"000"),IF(G98="HCGA","HCGA-"&amp;TEXT(COUNTIF($G$3:G98,G98),"000"),IF(G98="MAINTENANCE","MNT-"&amp;TEXT(COUNTIF($G$3:G98,G98),"000"),IF(G98="CIVIL","CIV-"&amp;TEXT(COUNTIF($G$3:G98,G98),"000"),IF(G98="GANIS","GAN-"&amp;TEXT(COUNTIF($G$3:G98,G98),"000"),IF(G98="ENGINEERING","ENG-"&amp;TEXT(COUNTIF($G$3:G98,G98),"000"),IF(G98="PRODUKSI","PRO-"&amp;TEXT(COUNTIF($G$3:G98,G98),"000"),IF(G98="SURVEY","SUR-"&amp;TEXT(COUNTIF($G$3:G98,G98),"000"),"")))))))))))</f>
        <v>EXP-095</v>
      </c>
      <c r="I98" s="2"/>
      <c r="J98" s="2"/>
    </row>
    <row r="99" spans="2:10" ht="15.5" customHeight="1">
      <c r="B99" s="4" t="s">
        <v>216</v>
      </c>
      <c r="C99" s="7" t="s">
        <v>209</v>
      </c>
      <c r="D99" s="36"/>
      <c r="E99" s="33" t="s">
        <v>79</v>
      </c>
      <c r="F99" s="39"/>
      <c r="G99" s="9" t="s">
        <v>10</v>
      </c>
      <c r="H99" s="1" t="str">
        <f>IF(G99="","",IF(G99="EKSPLORASI","EXP-"&amp;TEXT(COUNTIF($G$3:G99,G99),"000"),IF(G99="HSE","HSE-"&amp;TEXT(COUNTIF($G$3:G99,G99),"000"),IF(G99="QAQC","QAQC-"&amp;TEXT(COUNTIF($G$3:G99,G99),"000"),IF(G99="HCGA","HCGA-"&amp;TEXT(COUNTIF($G$3:G99,G99),"000"),IF(G99="MAINTENANCE","MNT-"&amp;TEXT(COUNTIF($G$3:G99,G99),"000"),IF(G99="CIVIL","CIV-"&amp;TEXT(COUNTIF($G$3:G99,G99),"000"),IF(G99="GANIS","GAN-"&amp;TEXT(COUNTIF($G$3:G99,G99),"000"),IF(G99="ENGINEERING","ENG-"&amp;TEXT(COUNTIF($G$3:G99,G99),"000"),IF(G99="PRODUKSI","PRO-"&amp;TEXT(COUNTIF($G$3:G99,G99),"000"),IF(G99="SURVEY","SUR-"&amp;TEXT(COUNTIF($G$3:G99,G99),"000"),"")))))))))))</f>
        <v>EXP-096</v>
      </c>
      <c r="I99" s="2"/>
      <c r="J99" s="2"/>
    </row>
    <row r="100" spans="2:10" ht="15.5" customHeight="1">
      <c r="B100" s="4" t="s">
        <v>218</v>
      </c>
      <c r="C100" s="7" t="s">
        <v>211</v>
      </c>
      <c r="D100" s="36"/>
      <c r="E100" s="33" t="s">
        <v>14</v>
      </c>
      <c r="F100" s="39"/>
      <c r="G100" s="9" t="s">
        <v>10</v>
      </c>
      <c r="H100" s="1" t="str">
        <f>IF(G100="","",IF(G100="EKSPLORASI","EXP-"&amp;TEXT(COUNTIF($G$3:G100,G100),"000"),IF(G100="HSE","HSE-"&amp;TEXT(COUNTIF($G$3:G100,G100),"000"),IF(G100="QAQC","QAQC-"&amp;TEXT(COUNTIF($G$3:G100,G100),"000"),IF(G100="HCGA","HCGA-"&amp;TEXT(COUNTIF($G$3:G100,G100),"000"),IF(G100="MAINTENANCE","MNT-"&amp;TEXT(COUNTIF($G$3:G100,G100),"000"),IF(G100="CIVIL","CIV-"&amp;TEXT(COUNTIF($G$3:G100,G100),"000"),IF(G100="GANIS","GAN-"&amp;TEXT(COUNTIF($G$3:G100,G100),"000"),IF(G100="ENGINEERING","ENG-"&amp;TEXT(COUNTIF($G$3:G100,G100),"000"),IF(G100="PRODUKSI","PRO-"&amp;TEXT(COUNTIF($G$3:G100,G100),"000"),IF(G100="SURVEY","SUR-"&amp;TEXT(COUNTIF($G$3:G100,G100),"000"),"")))))))))))</f>
        <v>EXP-097</v>
      </c>
      <c r="I100" s="2"/>
      <c r="J100" s="2"/>
    </row>
    <row r="101" spans="2:10" ht="15.5" customHeight="1">
      <c r="B101" s="4" t="s">
        <v>220</v>
      </c>
      <c r="C101" s="7" t="s">
        <v>213</v>
      </c>
      <c r="D101" s="36"/>
      <c r="E101" s="33" t="s">
        <v>14</v>
      </c>
      <c r="F101" s="39"/>
      <c r="G101" s="9" t="s">
        <v>10</v>
      </c>
      <c r="H101" s="1" t="str">
        <f>IF(G101="","",IF(G101="EKSPLORASI","EXP-"&amp;TEXT(COUNTIF($G$3:G101,G101),"000"),IF(G101="HSE","HSE-"&amp;TEXT(COUNTIF($G$3:G101,G101),"000"),IF(G101="QAQC","QAQC-"&amp;TEXT(COUNTIF($G$3:G101,G101),"000"),IF(G101="HCGA","HCGA-"&amp;TEXT(COUNTIF($G$3:G101,G101),"000"),IF(G101="MAINTENANCE","MNT-"&amp;TEXT(COUNTIF($G$3:G101,G101),"000"),IF(G101="CIVIL","CIV-"&amp;TEXT(COUNTIF($G$3:G101,G101),"000"),IF(G101="GANIS","GAN-"&amp;TEXT(COUNTIF($G$3:G101,G101),"000"),IF(G101="ENGINEERING","ENG-"&amp;TEXT(COUNTIF($G$3:G101,G101),"000"),IF(G101="PRODUKSI","PRO-"&amp;TEXT(COUNTIF($G$3:G101,G101),"000"),IF(G101="SURVEY","SUR-"&amp;TEXT(COUNTIF($G$3:G101,G101),"000"),"")))))))))))</f>
        <v>EXP-098</v>
      </c>
      <c r="I101" s="2"/>
      <c r="J101" s="2"/>
    </row>
    <row r="102" spans="2:10" ht="15.5" customHeight="1">
      <c r="B102" s="4" t="s">
        <v>222</v>
      </c>
      <c r="C102" s="7" t="s">
        <v>215</v>
      </c>
      <c r="D102" s="36">
        <v>90000</v>
      </c>
      <c r="E102" s="33" t="s">
        <v>14</v>
      </c>
      <c r="F102" s="39"/>
      <c r="G102" s="9" t="s">
        <v>10</v>
      </c>
      <c r="H102" s="1" t="str">
        <f>IF(G102="","",IF(G102="EKSPLORASI","EXP-"&amp;TEXT(COUNTIF($G$3:G102,G102),"000"),IF(G102="HSE","HSE-"&amp;TEXT(COUNTIF($G$3:G102,G102),"000"),IF(G102="QAQC","QAQC-"&amp;TEXT(COUNTIF($G$3:G102,G102),"000"),IF(G102="HCGA","HCGA-"&amp;TEXT(COUNTIF($G$3:G102,G102),"000"),IF(G102="MAINTENANCE","MNT-"&amp;TEXT(COUNTIF($G$3:G102,G102),"000"),IF(G102="CIVIL","CIV-"&amp;TEXT(COUNTIF($G$3:G102,G102),"000"),IF(G102="GANIS","GAN-"&amp;TEXT(COUNTIF($G$3:G102,G102),"000"),IF(G102="ENGINEERING","ENG-"&amp;TEXT(COUNTIF($G$3:G102,G102),"000"),IF(G102="PRODUKSI","PRO-"&amp;TEXT(COUNTIF($G$3:G102,G102),"000"),IF(G102="SURVEY","SUR-"&amp;TEXT(COUNTIF($G$3:G102,G102),"000"),"")))))))))))</f>
        <v>EXP-099</v>
      </c>
      <c r="I102" s="2"/>
      <c r="J102" s="2"/>
    </row>
    <row r="103" spans="2:10" ht="15.5" customHeight="1">
      <c r="B103" s="4" t="s">
        <v>224</v>
      </c>
      <c r="C103" s="7" t="s">
        <v>217</v>
      </c>
      <c r="D103" s="36"/>
      <c r="E103" s="33" t="s">
        <v>14</v>
      </c>
      <c r="F103" s="39"/>
      <c r="G103" s="9" t="s">
        <v>10</v>
      </c>
      <c r="H103" s="1" t="str">
        <f>IF(G103="","",IF(G103="EKSPLORASI","EXP-"&amp;TEXT(COUNTIF($G$3:G103,G103),"000"),IF(G103="HSE","HSE-"&amp;TEXT(COUNTIF($G$3:G103,G103),"000"),IF(G103="QAQC","QAQC-"&amp;TEXT(COUNTIF($G$3:G103,G103),"000"),IF(G103="HCGA","HCGA-"&amp;TEXT(COUNTIF($G$3:G103,G103),"000"),IF(G103="MAINTENANCE","MNT-"&amp;TEXT(COUNTIF($G$3:G103,G103),"000"),IF(G103="CIVIL","CIV-"&amp;TEXT(COUNTIF($G$3:G103,G103),"000"),IF(G103="GANIS","GAN-"&amp;TEXT(COUNTIF($G$3:G103,G103),"000"),IF(G103="ENGINEERING","ENG-"&amp;TEXT(COUNTIF($G$3:G103,G103),"000"),IF(G103="PRODUKSI","PRO-"&amp;TEXT(COUNTIF($G$3:G103,G103),"000"),IF(G103="SURVEY","SUR-"&amp;TEXT(COUNTIF($G$3:G103,G103),"000"),"")))))))))))</f>
        <v>EXP-100</v>
      </c>
      <c r="I103" s="2"/>
      <c r="J103" s="2"/>
    </row>
    <row r="104" spans="2:10" ht="15.5" customHeight="1">
      <c r="B104" s="4" t="s">
        <v>226</v>
      </c>
      <c r="C104" s="7" t="s">
        <v>219</v>
      </c>
      <c r="D104" s="47"/>
      <c r="E104" s="33" t="s">
        <v>14</v>
      </c>
      <c r="F104" s="38"/>
      <c r="G104" s="9" t="s">
        <v>10</v>
      </c>
      <c r="H104" s="1" t="str">
        <f>IF(G104="","",IF(G104="EKSPLORASI","EXP-"&amp;TEXT(COUNTIF($G$3:G104,G104),"000"),IF(G104="HSE","HSE-"&amp;TEXT(COUNTIF($G$3:G104,G104),"000"),IF(G104="QAQC","QAQC-"&amp;TEXT(COUNTIF($G$3:G104,G104),"000"),IF(G104="HCGA","HCGA-"&amp;TEXT(COUNTIF($G$3:G104,G104),"000"),IF(G104="MAINTENANCE","MNT-"&amp;TEXT(COUNTIF($G$3:G104,G104),"000"),IF(G104="CIVIL","CIV-"&amp;TEXT(COUNTIF($G$3:G104,G104),"000"),IF(G104="GANIS","GAN-"&amp;TEXT(COUNTIF($G$3:G104,G104),"000"),IF(G104="ENGINEERING","ENG-"&amp;TEXT(COUNTIF($G$3:G104,G104),"000"),IF(G104="PRODUKSI","PRO-"&amp;TEXT(COUNTIF($G$3:G104,G104),"000"),IF(G104="SURVEY","SUR-"&amp;TEXT(COUNTIF($G$3:G104,G104),"000"),"")))))))))))</f>
        <v>EXP-101</v>
      </c>
      <c r="I104" s="2"/>
      <c r="J104" s="2"/>
    </row>
    <row r="105" spans="2:10" ht="15.5" customHeight="1">
      <c r="B105" s="4" t="s">
        <v>228</v>
      </c>
      <c r="C105" s="7" t="s">
        <v>221</v>
      </c>
      <c r="D105" s="36"/>
      <c r="E105" s="33" t="s">
        <v>14</v>
      </c>
      <c r="F105" s="39"/>
      <c r="G105" s="9" t="s">
        <v>10</v>
      </c>
      <c r="H105" s="1" t="str">
        <f>IF(G105="","",IF(G105="EKSPLORASI","EXP-"&amp;TEXT(COUNTIF($G$3:G105,G105),"000"),IF(G105="HSE","HSE-"&amp;TEXT(COUNTIF($G$3:G105,G105),"000"),IF(G105="QAQC","QAQC-"&amp;TEXT(COUNTIF($G$3:G105,G105),"000"),IF(G105="HCGA","HCGA-"&amp;TEXT(COUNTIF($G$3:G105,G105),"000"),IF(G105="MAINTENANCE","MNT-"&amp;TEXT(COUNTIF($G$3:G105,G105),"000"),IF(G105="CIVIL","CIV-"&amp;TEXT(COUNTIF($G$3:G105,G105),"000"),IF(G105="GANIS","GAN-"&amp;TEXT(COUNTIF($G$3:G105,G105),"000"),IF(G105="ENGINEERING","ENG-"&amp;TEXT(COUNTIF($G$3:G105,G105),"000"),IF(G105="PRODUKSI","PRO-"&amp;TEXT(COUNTIF($G$3:G105,G105),"000"),IF(G105="SURVEY","SUR-"&amp;TEXT(COUNTIF($G$3:G105,G105),"000"),"")))))))))))</f>
        <v>EXP-102</v>
      </c>
      <c r="I105" s="2"/>
      <c r="J105" s="2"/>
    </row>
    <row r="106" spans="2:10" ht="15.5" customHeight="1">
      <c r="B106" s="4" t="s">
        <v>230</v>
      </c>
      <c r="C106" s="7" t="s">
        <v>223</v>
      </c>
      <c r="D106" s="36"/>
      <c r="E106" s="33" t="s">
        <v>14</v>
      </c>
      <c r="F106" s="39"/>
      <c r="G106" s="9" t="s">
        <v>10</v>
      </c>
      <c r="H106" s="1" t="str">
        <f>IF(G106="","",IF(G106="EKSPLORASI","EXP-"&amp;TEXT(COUNTIF($G$3:G106,G106),"000"),IF(G106="HSE","HSE-"&amp;TEXT(COUNTIF($G$3:G106,G106),"000"),IF(G106="QAQC","QAQC-"&amp;TEXT(COUNTIF($G$3:G106,G106),"000"),IF(G106="HCGA","HCGA-"&amp;TEXT(COUNTIF($G$3:G106,G106),"000"),IF(G106="MAINTENANCE","MNT-"&amp;TEXT(COUNTIF($G$3:G106,G106),"000"),IF(G106="CIVIL","CIV-"&amp;TEXT(COUNTIF($G$3:G106,G106),"000"),IF(G106="GANIS","GAN-"&amp;TEXT(COUNTIF($G$3:G106,G106),"000"),IF(G106="ENGINEERING","ENG-"&amp;TEXT(COUNTIF($G$3:G106,G106),"000"),IF(G106="PRODUKSI","PRO-"&amp;TEXT(COUNTIF($G$3:G106,G106),"000"),IF(G106="SURVEY","SUR-"&amp;TEXT(COUNTIF($G$3:G106,G106),"000"),"")))))))))))</f>
        <v>EXP-103</v>
      </c>
      <c r="I106" s="2"/>
      <c r="J106" s="2"/>
    </row>
    <row r="107" spans="2:10" ht="15.5" customHeight="1">
      <c r="B107" s="4" t="s">
        <v>233</v>
      </c>
      <c r="C107" s="7" t="s">
        <v>225</v>
      </c>
      <c r="D107" s="36"/>
      <c r="E107" s="33" t="s">
        <v>14</v>
      </c>
      <c r="F107" s="39"/>
      <c r="G107" s="9" t="s">
        <v>10</v>
      </c>
      <c r="H107" s="1" t="str">
        <f>IF(G107="","",IF(G107="EKSPLORASI","EXP-"&amp;TEXT(COUNTIF($G$3:G107,G107),"000"),IF(G107="HSE","HSE-"&amp;TEXT(COUNTIF($G$3:G107,G107),"000"),IF(G107="QAQC","QAQC-"&amp;TEXT(COUNTIF($G$3:G107,G107),"000"),IF(G107="HCGA","HCGA-"&amp;TEXT(COUNTIF($G$3:G107,G107),"000"),IF(G107="MAINTENANCE","MNT-"&amp;TEXT(COUNTIF($G$3:G107,G107),"000"),IF(G107="CIVIL","CIV-"&amp;TEXT(COUNTIF($G$3:G107,G107),"000"),IF(G107="GANIS","GAN-"&amp;TEXT(COUNTIF($G$3:G107,G107),"000"),IF(G107="ENGINEERING","ENG-"&amp;TEXT(COUNTIF($G$3:G107,G107),"000"),IF(G107="PRODUKSI","PRO-"&amp;TEXT(COUNTIF($G$3:G107,G107),"000"),IF(G107="SURVEY","SUR-"&amp;TEXT(COUNTIF($G$3:G107,G107),"000"),"")))))))))))</f>
        <v>EXP-104</v>
      </c>
      <c r="I107" s="2"/>
      <c r="J107" s="2"/>
    </row>
    <row r="108" spans="2:10" ht="15.5" customHeight="1">
      <c r="B108" s="4" t="s">
        <v>236</v>
      </c>
      <c r="C108" s="7" t="s">
        <v>227</v>
      </c>
      <c r="D108" s="36"/>
      <c r="E108" s="33" t="s">
        <v>63</v>
      </c>
      <c r="F108" s="39"/>
      <c r="G108" s="9" t="s">
        <v>10</v>
      </c>
      <c r="H108" s="1" t="str">
        <f>IF(G108="","",IF(G108="EKSPLORASI","EXP-"&amp;TEXT(COUNTIF($G$3:G108,G108),"000"),IF(G108="HSE","HSE-"&amp;TEXT(COUNTIF($G$3:G108,G108),"000"),IF(G108="QAQC","QAQC-"&amp;TEXT(COUNTIF($G$3:G108,G108),"000"),IF(G108="HCGA","HCGA-"&amp;TEXT(COUNTIF($G$3:G108,G108),"000"),IF(G108="MAINTENANCE","MNT-"&amp;TEXT(COUNTIF($G$3:G108,G108),"000"),IF(G108="CIVIL","CIV-"&amp;TEXT(COUNTIF($G$3:G108,G108),"000"),IF(G108="GANIS","GAN-"&amp;TEXT(COUNTIF($G$3:G108,G108),"000"),IF(G108="ENGINEERING","ENG-"&amp;TEXT(COUNTIF($G$3:G108,G108),"000"),IF(G108="PRODUKSI","PRO-"&amp;TEXT(COUNTIF($G$3:G108,G108),"000"),IF(G108="SURVEY","SUR-"&amp;TEXT(COUNTIF($G$3:G108,G108),"000"),"")))))))))))</f>
        <v>EXP-105</v>
      </c>
      <c r="I108" s="2"/>
      <c r="J108" s="2"/>
    </row>
    <row r="109" spans="2:10" ht="15.5" customHeight="1">
      <c r="B109" s="4" t="s">
        <v>238</v>
      </c>
      <c r="C109" s="7" t="s">
        <v>229</v>
      </c>
      <c r="D109" s="36"/>
      <c r="E109" s="33" t="s">
        <v>63</v>
      </c>
      <c r="F109" s="39"/>
      <c r="G109" s="9" t="s">
        <v>10</v>
      </c>
      <c r="H109" s="1" t="str">
        <f>IF(G109="","",IF(G109="EKSPLORASI","EXP-"&amp;TEXT(COUNTIF($G$3:G109,G109),"000"),IF(G109="HSE","HSE-"&amp;TEXT(COUNTIF($G$3:G109,G109),"000"),IF(G109="QAQC","QAQC-"&amp;TEXT(COUNTIF($G$3:G109,G109),"000"),IF(G109="HCGA","HCGA-"&amp;TEXT(COUNTIF($G$3:G109,G109),"000"),IF(G109="MAINTENANCE","MNT-"&amp;TEXT(COUNTIF($G$3:G109,G109),"000"),IF(G109="CIVIL","CIV-"&amp;TEXT(COUNTIF($G$3:G109,G109),"000"),IF(G109="GANIS","GAN-"&amp;TEXT(COUNTIF($G$3:G109,G109),"000"),IF(G109="ENGINEERING","ENG-"&amp;TEXT(COUNTIF($G$3:G109,G109),"000"),IF(G109="PRODUKSI","PRO-"&amp;TEXT(COUNTIF($G$3:G109,G109),"000"),IF(G109="SURVEY","SUR-"&amp;TEXT(COUNTIF($G$3:G109,G109),"000"),"")))))))))))</f>
        <v>EXP-106</v>
      </c>
      <c r="I109" s="2"/>
      <c r="J109" s="2"/>
    </row>
    <row r="110" spans="2:10" ht="15.5">
      <c r="B110" s="4" t="s">
        <v>239</v>
      </c>
      <c r="C110" s="10" t="s">
        <v>231</v>
      </c>
      <c r="D110" s="36"/>
      <c r="E110" s="40" t="s">
        <v>132</v>
      </c>
      <c r="F110" s="39"/>
      <c r="G110" s="12" t="s">
        <v>232</v>
      </c>
      <c r="H110" s="1" t="str">
        <f>IF(G110="","",IF(G110="EKSPLORASI","EXP-"&amp;TEXT(COUNTIF($G$3:G110,G110),"000"),IF(G110="HSE","HSE-"&amp;TEXT(COUNTIF($G$3:G110,G110),"000"),IF(G110="QAQC","QAQC-"&amp;TEXT(COUNTIF($G$3:G110,G110),"000"),IF(G110="HCGA","HCGA-"&amp;TEXT(COUNTIF($G$3:G110,G110),"000"),IF(G110="MAINTENANCE","MNT-"&amp;TEXT(COUNTIF($G$3:G110,G110),"000"),IF(G110="CIVIL","CIV-"&amp;TEXT(COUNTIF($G$3:G110,G110),"000"),IF(G110="GANIS","GAN-"&amp;TEXT(COUNTIF($G$3:G110,G110),"000"),IF(G110="ENGINEERING","ENG-"&amp;TEXT(COUNTIF($G$3:G110,G110),"000"),IF(G110="PRODUKSI","PRO-"&amp;TEXT(COUNTIF($G$3:G110,G110),"000"),IF(G110="SURVEY","SUR-"&amp;TEXT(COUNTIF($G$3:G110,G110),"000"),"")))))))))))</f>
        <v>QAQC-001</v>
      </c>
      <c r="I110" s="2"/>
      <c r="J110" s="2"/>
    </row>
    <row r="111" spans="2:10" ht="15.5">
      <c r="B111" s="4" t="s">
        <v>241</v>
      </c>
      <c r="C111" s="10" t="s">
        <v>234</v>
      </c>
      <c r="D111" s="47">
        <v>120000</v>
      </c>
      <c r="E111" s="40" t="s">
        <v>235</v>
      </c>
      <c r="F111" s="38" t="s">
        <v>1094</v>
      </c>
      <c r="G111" s="12" t="s">
        <v>232</v>
      </c>
      <c r="H111" s="1" t="str">
        <f>IF(G111="","",IF(G111="EKSPLORASI","EXP-"&amp;TEXT(COUNTIF($G$3:G111,G111),"000"),IF(G111="HSE","HSE-"&amp;TEXT(COUNTIF($G$3:G111,G111),"000"),IF(G111="QAQC","QAQC-"&amp;TEXT(COUNTIF($G$3:G111,G111),"000"),IF(G111="HCGA","HCGA-"&amp;TEXT(COUNTIF($G$3:G111,G111),"000"),IF(G111="MAINTENANCE","MNT-"&amp;TEXT(COUNTIF($G$3:G111,G111),"000"),IF(G111="CIVIL","CIV-"&amp;TEXT(COUNTIF($G$3:G111,G111),"000"),IF(G111="GANIS","GAN-"&amp;TEXT(COUNTIF($G$3:G111,G111),"000"),IF(G111="ENGINEERING","ENG-"&amp;TEXT(COUNTIF($G$3:G111,G111),"000"),IF(G111="PRODUKSI","PRO-"&amp;TEXT(COUNTIF($G$3:G111,G111),"000"),IF(G111="SURVEY","SUR-"&amp;TEXT(COUNTIF($G$3:G111,G111),"000"),"")))))))))))</f>
        <v>QAQC-002</v>
      </c>
      <c r="I111" s="2"/>
      <c r="J111" s="2"/>
    </row>
    <row r="112" spans="2:10" ht="15.5">
      <c r="B112" s="4" t="s">
        <v>243</v>
      </c>
      <c r="C112" s="10" t="s">
        <v>237</v>
      </c>
      <c r="D112" s="36"/>
      <c r="E112" s="40" t="s">
        <v>63</v>
      </c>
      <c r="F112" s="39"/>
      <c r="G112" s="12" t="s">
        <v>232</v>
      </c>
      <c r="H112" s="1" t="str">
        <f>IF(G112="","",IF(G112="EKSPLORASI","EXP-"&amp;TEXT(COUNTIF($G$3:G112,G112),"000"),IF(G112="HSE","HSE-"&amp;TEXT(COUNTIF($G$3:G112,G112),"000"),IF(G112="QAQC","QAQC-"&amp;TEXT(COUNTIF($G$3:G112,G112),"000"),IF(G112="HCGA","HCGA-"&amp;TEXT(COUNTIF($G$3:G112,G112),"000"),IF(G112="MAINTENANCE","MNT-"&amp;TEXT(COUNTIF($G$3:G112,G112),"000"),IF(G112="CIVIL","CIV-"&amp;TEXT(COUNTIF($G$3:G112,G112),"000"),IF(G112="GANIS","GAN-"&amp;TEXT(COUNTIF($G$3:G112,G112),"000"),IF(G112="ENGINEERING","ENG-"&amp;TEXT(COUNTIF($G$3:G112,G112),"000"),IF(G112="PRODUKSI","PRO-"&amp;TEXT(COUNTIF($G$3:G112,G112),"000"),IF(G112="SURVEY","SUR-"&amp;TEXT(COUNTIF($G$3:G112,G112),"000"),"")))))))))))</f>
        <v>QAQC-003</v>
      </c>
      <c r="I112" s="2"/>
      <c r="J112" s="2"/>
    </row>
    <row r="113" spans="2:10" ht="15.5">
      <c r="B113" s="4" t="s">
        <v>245</v>
      </c>
      <c r="C113" s="10" t="s">
        <v>205</v>
      </c>
      <c r="D113" s="36"/>
      <c r="E113" s="40" t="s">
        <v>46</v>
      </c>
      <c r="F113" s="39"/>
      <c r="G113" s="12" t="s">
        <v>232</v>
      </c>
      <c r="H113" s="1" t="str">
        <f>IF(G113="","",IF(G113="EKSPLORASI","EXP-"&amp;TEXT(COUNTIF($G$3:G113,G113),"000"),IF(G113="HSE","HSE-"&amp;TEXT(COUNTIF($G$3:G113,G113),"000"),IF(G113="QAQC","QAQC-"&amp;TEXT(COUNTIF($G$3:G113,G113),"000"),IF(G113="HCGA","HCGA-"&amp;TEXT(COUNTIF($G$3:G113,G113),"000"),IF(G113="MAINTENANCE","MNT-"&amp;TEXT(COUNTIF($G$3:G113,G113),"000"),IF(G113="CIVIL","CIV-"&amp;TEXT(COUNTIF($G$3:G113,G113),"000"),IF(G113="GANIS","GAN-"&amp;TEXT(COUNTIF($G$3:G113,G113),"000"),IF(G113="ENGINEERING","ENG-"&amp;TEXT(COUNTIF($G$3:G113,G113),"000"),IF(G113="PRODUKSI","PRO-"&amp;TEXT(COUNTIF($G$3:G113,G113),"000"),IF(G113="SURVEY","SUR-"&amp;TEXT(COUNTIF($G$3:G113,G113),"000"),"")))))))))))</f>
        <v>QAQC-004</v>
      </c>
      <c r="I113" s="2"/>
      <c r="J113" s="2"/>
    </row>
    <row r="114" spans="2:10" ht="15.5">
      <c r="B114" s="4" t="s">
        <v>247</v>
      </c>
      <c r="C114" s="10" t="s">
        <v>240</v>
      </c>
      <c r="D114" s="36"/>
      <c r="E114" s="40" t="s">
        <v>14</v>
      </c>
      <c r="F114" s="39"/>
      <c r="G114" s="12" t="s">
        <v>232</v>
      </c>
      <c r="H114" s="1" t="str">
        <f>IF(G114="","",IF(G114="EKSPLORASI","EXP-"&amp;TEXT(COUNTIF($G$3:G114,G114),"000"),IF(G114="HSE","HSE-"&amp;TEXT(COUNTIF($G$3:G114,G114),"000"),IF(G114="QAQC","QAQC-"&amp;TEXT(COUNTIF($G$3:G114,G114),"000"),IF(G114="HCGA","HCGA-"&amp;TEXT(COUNTIF($G$3:G114,G114),"000"),IF(G114="MAINTENANCE","MNT-"&amp;TEXT(COUNTIF($G$3:G114,G114),"000"),IF(G114="CIVIL","CIV-"&amp;TEXT(COUNTIF($G$3:G114,G114),"000"),IF(G114="GANIS","GAN-"&amp;TEXT(COUNTIF($G$3:G114,G114),"000"),IF(G114="ENGINEERING","ENG-"&amp;TEXT(COUNTIF($G$3:G114,G114),"000"),IF(G114="PRODUKSI","PRO-"&amp;TEXT(COUNTIF($G$3:G114,G114),"000"),IF(G114="SURVEY","SUR-"&amp;TEXT(COUNTIF($G$3:G114,G114),"000"),"")))))))))))</f>
        <v>QAQC-005</v>
      </c>
      <c r="I114" s="2"/>
      <c r="J114" s="2"/>
    </row>
    <row r="115" spans="2:10" ht="15.5">
      <c r="B115" s="4" t="s">
        <v>249</v>
      </c>
      <c r="C115" s="10" t="s">
        <v>242</v>
      </c>
      <c r="D115" s="36"/>
      <c r="E115" s="40" t="s">
        <v>14</v>
      </c>
      <c r="F115" s="39"/>
      <c r="G115" s="12" t="s">
        <v>232</v>
      </c>
      <c r="H115" s="1" t="str">
        <f>IF(G115="","",IF(G115="EKSPLORASI","EXP-"&amp;TEXT(COUNTIF($G$3:G115,G115),"000"),IF(G115="HSE","HSE-"&amp;TEXT(COUNTIF($G$3:G115,G115),"000"),IF(G115="QAQC","QAQC-"&amp;TEXT(COUNTIF($G$3:G115,G115),"000"),IF(G115="HCGA","HCGA-"&amp;TEXT(COUNTIF($G$3:G115,G115),"000"),IF(G115="MAINTENANCE","MNT-"&amp;TEXT(COUNTIF($G$3:G115,G115),"000"),IF(G115="CIVIL","CIV-"&amp;TEXT(COUNTIF($G$3:G115,G115),"000"),IF(G115="GANIS","GAN-"&amp;TEXT(COUNTIF($G$3:G115,G115),"000"),IF(G115="ENGINEERING","ENG-"&amp;TEXT(COUNTIF($G$3:G115,G115),"000"),IF(G115="PRODUKSI","PRO-"&amp;TEXT(COUNTIF($G$3:G115,G115),"000"),IF(G115="SURVEY","SUR-"&amp;TEXT(COUNTIF($G$3:G115,G115),"000"),"")))))))))))</f>
        <v>QAQC-006</v>
      </c>
      <c r="I115" s="2"/>
      <c r="J115" s="2"/>
    </row>
    <row r="116" spans="2:10" ht="15.5">
      <c r="B116" s="4" t="s">
        <v>251</v>
      </c>
      <c r="C116" s="11" t="s">
        <v>244</v>
      </c>
      <c r="D116" s="36">
        <v>10000</v>
      </c>
      <c r="E116" s="40" t="s">
        <v>14</v>
      </c>
      <c r="F116" s="39" t="s">
        <v>1089</v>
      </c>
      <c r="G116" s="12" t="s">
        <v>232</v>
      </c>
      <c r="H116" s="1" t="str">
        <f>IF(G116="","",IF(G116="EKSPLORASI","EXP-"&amp;TEXT(COUNTIF($G$3:G116,G116),"000"),IF(G116="HSE","HSE-"&amp;TEXT(COUNTIF($G$3:G116,G116),"000"),IF(G116="QAQC","QAQC-"&amp;TEXT(COUNTIF($G$3:G116,G116),"000"),IF(G116="HCGA","HCGA-"&amp;TEXT(COUNTIF($G$3:G116,G116),"000"),IF(G116="MAINTENANCE","MNT-"&amp;TEXT(COUNTIF($G$3:G116,G116),"000"),IF(G116="CIVIL","CIV-"&amp;TEXT(COUNTIF($G$3:G116,G116),"000"),IF(G116="GANIS","GAN-"&amp;TEXT(COUNTIF($G$3:G116,G116),"000"),IF(G116="ENGINEERING","ENG-"&amp;TEXT(COUNTIF($G$3:G116,G116),"000"),IF(G116="PRODUKSI","PRO-"&amp;TEXT(COUNTIF($G$3:G116,G116),"000"),IF(G116="SURVEY","SUR-"&amp;TEXT(COUNTIF($G$3:G116,G116),"000"),"")))))))))))</f>
        <v>QAQC-007</v>
      </c>
      <c r="I116" s="2"/>
      <c r="J116" s="2"/>
    </row>
    <row r="117" spans="2:10" ht="15.5">
      <c r="B117" s="4" t="s">
        <v>253</v>
      </c>
      <c r="C117" s="11" t="s">
        <v>246</v>
      </c>
      <c r="D117" s="36">
        <v>7000</v>
      </c>
      <c r="E117" s="40" t="s">
        <v>14</v>
      </c>
      <c r="F117" s="39" t="s">
        <v>1089</v>
      </c>
      <c r="G117" s="12" t="s">
        <v>232</v>
      </c>
      <c r="H117" s="1" t="str">
        <f>IF(G117="","",IF(G117="EKSPLORASI","EXP-"&amp;TEXT(COUNTIF($G$3:G117,G117),"000"),IF(G117="HSE","HSE-"&amp;TEXT(COUNTIF($G$3:G117,G117),"000"),IF(G117="QAQC","QAQC-"&amp;TEXT(COUNTIF($G$3:G117,G117),"000"),IF(G117="HCGA","HCGA-"&amp;TEXT(COUNTIF($G$3:G117,G117),"000"),IF(G117="MAINTENANCE","MNT-"&amp;TEXT(COUNTIF($G$3:G117,G117),"000"),IF(G117="CIVIL","CIV-"&amp;TEXT(COUNTIF($G$3:G117,G117),"000"),IF(G117="GANIS","GAN-"&amp;TEXT(COUNTIF($G$3:G117,G117),"000"),IF(G117="ENGINEERING","ENG-"&amp;TEXT(COUNTIF($G$3:G117,G117),"000"),IF(G117="PRODUKSI","PRO-"&amp;TEXT(COUNTIF($G$3:G117,G117),"000"),IF(G117="SURVEY","SUR-"&amp;TEXT(COUNTIF($G$3:G117,G117),"000"),"")))))))))))</f>
        <v>QAQC-008</v>
      </c>
      <c r="I117" s="2"/>
      <c r="J117" s="2"/>
    </row>
    <row r="118" spans="2:10" ht="15.5">
      <c r="B118" s="4" t="s">
        <v>255</v>
      </c>
      <c r="C118" s="11" t="s">
        <v>248</v>
      </c>
      <c r="D118" s="36">
        <v>7000</v>
      </c>
      <c r="E118" s="40" t="s">
        <v>14</v>
      </c>
      <c r="F118" s="39" t="s">
        <v>1089</v>
      </c>
      <c r="G118" s="12" t="s">
        <v>232</v>
      </c>
      <c r="H118" s="1" t="str">
        <f>IF(G118="","",IF(G118="EKSPLORASI","EXP-"&amp;TEXT(COUNTIF($G$3:G118,G118),"000"),IF(G118="HSE","HSE-"&amp;TEXT(COUNTIF($G$3:G118,G118),"000"),IF(G118="QAQC","QAQC-"&amp;TEXT(COUNTIF($G$3:G118,G118),"000"),IF(G118="HCGA","HCGA-"&amp;TEXT(COUNTIF($G$3:G118,G118),"000"),IF(G118="MAINTENANCE","MNT-"&amp;TEXT(COUNTIF($G$3:G118,G118),"000"),IF(G118="CIVIL","CIV-"&amp;TEXT(COUNTIF($G$3:G118,G118),"000"),IF(G118="GANIS","GAN-"&amp;TEXT(COUNTIF($G$3:G118,G118),"000"),IF(G118="ENGINEERING","ENG-"&amp;TEXT(COUNTIF($G$3:G118,G118),"000"),IF(G118="PRODUKSI","PRO-"&amp;TEXT(COUNTIF($G$3:G118,G118),"000"),IF(G118="SURVEY","SUR-"&amp;TEXT(COUNTIF($G$3:G118,G118),"000"),"")))))))))))</f>
        <v>QAQC-009</v>
      </c>
      <c r="I118" s="2"/>
      <c r="J118" s="2"/>
    </row>
    <row r="119" spans="2:10" ht="15.5">
      <c r="B119" s="4" t="s">
        <v>258</v>
      </c>
      <c r="C119" s="11" t="s">
        <v>250</v>
      </c>
      <c r="D119" s="36"/>
      <c r="E119" s="40" t="s">
        <v>14</v>
      </c>
      <c r="F119" s="39"/>
      <c r="G119" s="12" t="s">
        <v>232</v>
      </c>
      <c r="H119" s="1" t="str">
        <f>IF(G119="","",IF(G119="EKSPLORASI","EXP-"&amp;TEXT(COUNTIF($G$3:G119,G119),"000"),IF(G119="HSE","HSE-"&amp;TEXT(COUNTIF($G$3:G119,G119),"000"),IF(G119="QAQC","QAQC-"&amp;TEXT(COUNTIF($G$3:G119,G119),"000"),IF(G119="HCGA","HCGA-"&amp;TEXT(COUNTIF($G$3:G119,G119),"000"),IF(G119="MAINTENANCE","MNT-"&amp;TEXT(COUNTIF($G$3:G119,G119),"000"),IF(G119="CIVIL","CIV-"&amp;TEXT(COUNTIF($G$3:G119,G119),"000"),IF(G119="GANIS","GAN-"&amp;TEXT(COUNTIF($G$3:G119,G119),"000"),IF(G119="ENGINEERING","ENG-"&amp;TEXT(COUNTIF($G$3:G119,G119),"000"),IF(G119="PRODUKSI","PRO-"&amp;TEXT(COUNTIF($G$3:G119,G119),"000"),IF(G119="SURVEY","SUR-"&amp;TEXT(COUNTIF($G$3:G119,G119),"000"),"")))))))))))</f>
        <v>QAQC-010</v>
      </c>
      <c r="I119" s="2"/>
      <c r="J119" s="2"/>
    </row>
    <row r="120" spans="2:10" ht="15.5">
      <c r="B120" s="4" t="s">
        <v>259</v>
      </c>
      <c r="C120" s="11" t="s">
        <v>252</v>
      </c>
      <c r="D120" s="36">
        <v>35000</v>
      </c>
      <c r="E120" s="40" t="s">
        <v>43</v>
      </c>
      <c r="F120" s="39" t="s">
        <v>1095</v>
      </c>
      <c r="G120" s="12" t="s">
        <v>232</v>
      </c>
      <c r="H120" s="1" t="str">
        <f>IF(G120="","",IF(G120="EKSPLORASI","EXP-"&amp;TEXT(COUNTIF($G$3:G120,G120),"000"),IF(G120="HSE","HSE-"&amp;TEXT(COUNTIF($G$3:G120,G120),"000"),IF(G120="QAQC","QAQC-"&amp;TEXT(COUNTIF($G$3:G120,G120),"000"),IF(G120="HCGA","HCGA-"&amp;TEXT(COUNTIF($G$3:G120,G120),"000"),IF(G120="MAINTENANCE","MNT-"&amp;TEXT(COUNTIF($G$3:G120,G120),"000"),IF(G120="CIVIL","CIV-"&amp;TEXT(COUNTIF($G$3:G120,G120),"000"),IF(G120="GANIS","GAN-"&amp;TEXT(COUNTIF($G$3:G120,G120),"000"),IF(G120="ENGINEERING","ENG-"&amp;TEXT(COUNTIF($G$3:G120,G120),"000"),IF(G120="PRODUKSI","PRO-"&amp;TEXT(COUNTIF($G$3:G120,G120),"000"),IF(G120="SURVEY","SUR-"&amp;TEXT(COUNTIF($G$3:G120,G120),"000"),"")))))))))))</f>
        <v>QAQC-011</v>
      </c>
      <c r="I120" s="2"/>
      <c r="J120" s="2"/>
    </row>
    <row r="121" spans="2:10" ht="15.5">
      <c r="B121" s="4" t="s">
        <v>261</v>
      </c>
      <c r="C121" s="11" t="s">
        <v>254</v>
      </c>
      <c r="D121" s="36"/>
      <c r="E121" s="40" t="s">
        <v>139</v>
      </c>
      <c r="F121" s="39"/>
      <c r="G121" s="12" t="s">
        <v>232</v>
      </c>
      <c r="H121" s="1" t="str">
        <f>IF(G121="","",IF(G121="EKSPLORASI","EXP-"&amp;TEXT(COUNTIF($G$3:G121,G121),"000"),IF(G121="HSE","HSE-"&amp;TEXT(COUNTIF($G$3:G121,G121),"000"),IF(G121="QAQC","QAQC-"&amp;TEXT(COUNTIF($G$3:G121,G121),"000"),IF(G121="HCGA","HCGA-"&amp;TEXT(COUNTIF($G$3:G121,G121),"000"),IF(G121="MAINTENANCE","MNT-"&amp;TEXT(COUNTIF($G$3:G121,G121),"000"),IF(G121="CIVIL","CIV-"&amp;TEXT(COUNTIF($G$3:G121,G121),"000"),IF(G121="GANIS","GAN-"&amp;TEXT(COUNTIF($G$3:G121,G121),"000"),IF(G121="ENGINEERING","ENG-"&amp;TEXT(COUNTIF($G$3:G121,G121),"000"),IF(G121="PRODUKSI","PRO-"&amp;TEXT(COUNTIF($G$3:G121,G121),"000"),IF(G121="SURVEY","SUR-"&amp;TEXT(COUNTIF($G$3:G121,G121),"000"),"")))))))))))</f>
        <v>QAQC-012</v>
      </c>
      <c r="I121" s="2"/>
      <c r="J121" s="2"/>
    </row>
    <row r="122" spans="2:10" ht="15.5">
      <c r="B122" s="4" t="s">
        <v>263</v>
      </c>
      <c r="C122" s="11" t="s">
        <v>256</v>
      </c>
      <c r="D122" s="36"/>
      <c r="E122" s="40" t="s">
        <v>257</v>
      </c>
      <c r="F122" s="39"/>
      <c r="G122" s="12" t="s">
        <v>232</v>
      </c>
      <c r="H122" s="1" t="str">
        <f>IF(G122="","",IF(G122="EKSPLORASI","EXP-"&amp;TEXT(COUNTIF($G$3:G122,G122),"000"),IF(G122="HSE","HSE-"&amp;TEXT(COUNTIF($G$3:G122,G122),"000"),IF(G122="QAQC","QAQC-"&amp;TEXT(COUNTIF($G$3:G122,G122),"000"),IF(G122="HCGA","HCGA-"&amp;TEXT(COUNTIF($G$3:G122,G122),"000"),IF(G122="MAINTENANCE","MNT-"&amp;TEXT(COUNTIF($G$3:G122,G122),"000"),IF(G122="CIVIL","CIV-"&amp;TEXT(COUNTIF($G$3:G122,G122),"000"),IF(G122="GANIS","GAN-"&amp;TEXT(COUNTIF($G$3:G122,G122),"000"),IF(G122="ENGINEERING","ENG-"&amp;TEXT(COUNTIF($G$3:G122,G122),"000"),IF(G122="PRODUKSI","PRO-"&amp;TEXT(COUNTIF($G$3:G122,G122),"000"),IF(G122="SURVEY","SUR-"&amp;TEXT(COUNTIF($G$3:G122,G122),"000"),"")))))))))))</f>
        <v>QAQC-013</v>
      </c>
      <c r="I122" s="2"/>
      <c r="J122" s="2"/>
    </row>
    <row r="123" spans="2:10" ht="15.5">
      <c r="B123" s="4" t="s">
        <v>265</v>
      </c>
      <c r="C123" s="11" t="s">
        <v>182</v>
      </c>
      <c r="D123" s="47">
        <v>50000</v>
      </c>
      <c r="E123" s="40" t="s">
        <v>183</v>
      </c>
      <c r="F123" s="39"/>
      <c r="G123" s="12" t="s">
        <v>232</v>
      </c>
      <c r="H123" s="1" t="str">
        <f>IF(G123="","",IF(G123="EKSPLORASI","EXP-"&amp;TEXT(COUNTIF($G$3:G123,G123),"000"),IF(G123="HSE","HSE-"&amp;TEXT(COUNTIF($G$3:G123,G123),"000"),IF(G123="QAQC","QAQC-"&amp;TEXT(COUNTIF($G$3:G123,G123),"000"),IF(G123="HCGA","HCGA-"&amp;TEXT(COUNTIF($G$3:G123,G123),"000"),IF(G123="MAINTENANCE","MNT-"&amp;TEXT(COUNTIF($G$3:G123,G123),"000"),IF(G123="CIVIL","CIV-"&amp;TEXT(COUNTIF($G$3:G123,G123),"000"),IF(G123="GANIS","GAN-"&amp;TEXT(COUNTIF($G$3:G123,G123),"000"),IF(G123="ENGINEERING","ENG-"&amp;TEXT(COUNTIF($G$3:G123,G123),"000"),IF(G123="PRODUKSI","PRO-"&amp;TEXT(COUNTIF($G$3:G123,G123),"000"),IF(G123="SURVEY","SUR-"&amp;TEXT(COUNTIF($G$3:G123,G123),"000"),"")))))))))))</f>
        <v>QAQC-014</v>
      </c>
      <c r="I123" s="2"/>
      <c r="J123" s="2"/>
    </row>
    <row r="124" spans="2:10" ht="15.5">
      <c r="B124" s="4" t="s">
        <v>267</v>
      </c>
      <c r="C124" s="11" t="s">
        <v>260</v>
      </c>
      <c r="D124" s="36"/>
      <c r="E124" s="40" t="s">
        <v>183</v>
      </c>
      <c r="F124" s="39"/>
      <c r="G124" s="12" t="s">
        <v>232</v>
      </c>
      <c r="H124" s="1" t="str">
        <f>IF(G124="","",IF(G124="EKSPLORASI","EXP-"&amp;TEXT(COUNTIF($G$3:G124,G124),"000"),IF(G124="HSE","HSE-"&amp;TEXT(COUNTIF($G$3:G124,G124),"000"),IF(G124="QAQC","QAQC-"&amp;TEXT(COUNTIF($G$3:G124,G124),"000"),IF(G124="HCGA","HCGA-"&amp;TEXT(COUNTIF($G$3:G124,G124),"000"),IF(G124="MAINTENANCE","MNT-"&amp;TEXT(COUNTIF($G$3:G124,G124),"000"),IF(G124="CIVIL","CIV-"&amp;TEXT(COUNTIF($G$3:G124,G124),"000"),IF(G124="GANIS","GAN-"&amp;TEXT(COUNTIF($G$3:G124,G124),"000"),IF(G124="ENGINEERING","ENG-"&amp;TEXT(COUNTIF($G$3:G124,G124),"000"),IF(G124="PRODUKSI","PRO-"&amp;TEXT(COUNTIF($G$3:G124,G124),"000"),IF(G124="SURVEY","SUR-"&amp;TEXT(COUNTIF($G$3:G124,G124),"000"),"")))))))))))</f>
        <v>QAQC-015</v>
      </c>
      <c r="I124" s="2"/>
      <c r="J124" s="2"/>
    </row>
    <row r="125" spans="2:10" ht="15.5">
      <c r="B125" s="4" t="s">
        <v>269</v>
      </c>
      <c r="C125" s="11" t="s">
        <v>262</v>
      </c>
      <c r="D125" s="36"/>
      <c r="E125" s="40" t="s">
        <v>14</v>
      </c>
      <c r="F125" s="39"/>
      <c r="G125" s="12" t="s">
        <v>232</v>
      </c>
      <c r="H125" s="1" t="str">
        <f>IF(G125="","",IF(G125="EKSPLORASI","EXP-"&amp;TEXT(COUNTIF($G$3:G125,G125),"000"),IF(G125="HSE","HSE-"&amp;TEXT(COUNTIF($G$3:G125,G125),"000"),IF(G125="QAQC","QAQC-"&amp;TEXT(COUNTIF($G$3:G125,G125),"000"),IF(G125="HCGA","HCGA-"&amp;TEXT(COUNTIF($G$3:G125,G125),"000"),IF(G125="MAINTENANCE","MNT-"&amp;TEXT(COUNTIF($G$3:G125,G125),"000"),IF(G125="CIVIL","CIV-"&amp;TEXT(COUNTIF($G$3:G125,G125),"000"),IF(G125="GANIS","GAN-"&amp;TEXT(COUNTIF($G$3:G125,G125),"000"),IF(G125="ENGINEERING","ENG-"&amp;TEXT(COUNTIF($G$3:G125,G125),"000"),IF(G125="PRODUKSI","PRO-"&amp;TEXT(COUNTIF($G$3:G125,G125),"000"),IF(G125="SURVEY","SUR-"&amp;TEXT(COUNTIF($G$3:G125,G125),"000"),"")))))))))))</f>
        <v>QAQC-016</v>
      </c>
      <c r="I125" s="2"/>
      <c r="J125" s="2"/>
    </row>
    <row r="126" spans="2:10" ht="15.5">
      <c r="B126" s="4" t="s">
        <v>271</v>
      </c>
      <c r="C126" s="11" t="s">
        <v>264</v>
      </c>
      <c r="D126" s="36"/>
      <c r="E126" s="40" t="s">
        <v>14</v>
      </c>
      <c r="F126" s="39"/>
      <c r="G126" s="12" t="s">
        <v>232</v>
      </c>
      <c r="H126" s="1" t="str">
        <f>IF(G126="","",IF(G126="EKSPLORASI","EXP-"&amp;TEXT(COUNTIF($G$3:G126,G126),"000"),IF(G126="HSE","HSE-"&amp;TEXT(COUNTIF($G$3:G126,G126),"000"),IF(G126="QAQC","QAQC-"&amp;TEXT(COUNTIF($G$3:G126,G126),"000"),IF(G126="HCGA","HCGA-"&amp;TEXT(COUNTIF($G$3:G126,G126),"000"),IF(G126="MAINTENANCE","MNT-"&amp;TEXT(COUNTIF($G$3:G126,G126),"000"),IF(G126="CIVIL","CIV-"&amp;TEXT(COUNTIF($G$3:G126,G126),"000"),IF(G126="GANIS","GAN-"&amp;TEXT(COUNTIF($G$3:G126,G126),"000"),IF(G126="ENGINEERING","ENG-"&amp;TEXT(COUNTIF($G$3:G126,G126),"000"),IF(G126="PRODUKSI","PRO-"&amp;TEXT(COUNTIF($G$3:G126,G126),"000"),IF(G126="SURVEY","SUR-"&amp;TEXT(COUNTIF($G$3:G126,G126),"000"),"")))))))))))</f>
        <v>QAQC-017</v>
      </c>
      <c r="I126" s="2"/>
      <c r="J126" s="2"/>
    </row>
    <row r="127" spans="2:10" ht="15.5">
      <c r="B127" s="4" t="s">
        <v>274</v>
      </c>
      <c r="C127" s="11" t="s">
        <v>266</v>
      </c>
      <c r="D127" s="47"/>
      <c r="E127" s="40" t="s">
        <v>14</v>
      </c>
      <c r="F127" s="38"/>
      <c r="G127" s="12" t="s">
        <v>232</v>
      </c>
      <c r="H127" s="1" t="str">
        <f>IF(G127="","",IF(G127="EKSPLORASI","EXP-"&amp;TEXT(COUNTIF($G$3:G127,G127),"000"),IF(G127="HSE","HSE-"&amp;TEXT(COUNTIF($G$3:G127,G127),"000"),IF(G127="QAQC","QAQC-"&amp;TEXT(COUNTIF($G$3:G127,G127),"000"),IF(G127="HCGA","HCGA-"&amp;TEXT(COUNTIF($G$3:G127,G127),"000"),IF(G127="MAINTENANCE","MNT-"&amp;TEXT(COUNTIF($G$3:G127,G127),"000"),IF(G127="CIVIL","CIV-"&amp;TEXT(COUNTIF($G$3:G127,G127),"000"),IF(G127="GANIS","GAN-"&amp;TEXT(COUNTIF($G$3:G127,G127),"000"),IF(G127="ENGINEERING","ENG-"&amp;TEXT(COUNTIF($G$3:G127,G127),"000"),IF(G127="PRODUKSI","PRO-"&amp;TEXT(COUNTIF($G$3:G127,G127),"000"),IF(G127="SURVEY","SUR-"&amp;TEXT(COUNTIF($G$3:G127,G127),"000"),"")))))))))))</f>
        <v>QAQC-018</v>
      </c>
      <c r="I127" s="2"/>
      <c r="J127" s="2"/>
    </row>
    <row r="128" spans="2:10" ht="15.5">
      <c r="B128" s="4" t="s">
        <v>276</v>
      </c>
      <c r="C128" s="11" t="s">
        <v>268</v>
      </c>
      <c r="D128" s="36">
        <v>100000</v>
      </c>
      <c r="E128" s="40" t="s">
        <v>14</v>
      </c>
      <c r="F128" s="39" t="s">
        <v>1103</v>
      </c>
      <c r="G128" s="12" t="s">
        <v>232</v>
      </c>
      <c r="H128" s="1" t="str">
        <f>IF(G128="","",IF(G128="EKSPLORASI","EXP-"&amp;TEXT(COUNTIF($G$3:G128,G128),"000"),IF(G128="HSE","HSE-"&amp;TEXT(COUNTIF($G$3:G128,G128),"000"),IF(G128="QAQC","QAQC-"&amp;TEXT(COUNTIF($G$3:G128,G128),"000"),IF(G128="HCGA","HCGA-"&amp;TEXT(COUNTIF($G$3:G128,G128),"000"),IF(G128="MAINTENANCE","MNT-"&amp;TEXT(COUNTIF($G$3:G128,G128),"000"),IF(G128="CIVIL","CIV-"&amp;TEXT(COUNTIF($G$3:G128,G128),"000"),IF(G128="GANIS","GAN-"&amp;TEXT(COUNTIF($G$3:G128,G128),"000"),IF(G128="ENGINEERING","ENG-"&amp;TEXT(COUNTIF($G$3:G128,G128),"000"),IF(G128="PRODUKSI","PRO-"&amp;TEXT(COUNTIF($G$3:G128,G128),"000"),IF(G128="SURVEY","SUR-"&amp;TEXT(COUNTIF($G$3:G128,G128),"000"),"")))))))))))</f>
        <v>QAQC-019</v>
      </c>
      <c r="I128" s="2"/>
      <c r="J128" s="2"/>
    </row>
    <row r="129" spans="2:10" ht="15.5">
      <c r="B129" s="4" t="s">
        <v>278</v>
      </c>
      <c r="C129" s="11" t="s">
        <v>270</v>
      </c>
      <c r="D129" s="36">
        <v>15000</v>
      </c>
      <c r="E129" s="40" t="s">
        <v>14</v>
      </c>
      <c r="F129" s="39"/>
      <c r="G129" s="12" t="s">
        <v>232</v>
      </c>
      <c r="H129" s="1" t="str">
        <f>IF(G129="","",IF(G129="EKSPLORASI","EXP-"&amp;TEXT(COUNTIF($G$3:G129,G129),"000"),IF(G129="HSE","HSE-"&amp;TEXT(COUNTIF($G$3:G129,G129),"000"),IF(G129="QAQC","QAQC-"&amp;TEXT(COUNTIF($G$3:G129,G129),"000"),IF(G129="HCGA","HCGA-"&amp;TEXT(COUNTIF($G$3:G129,G129),"000"),IF(G129="MAINTENANCE","MNT-"&amp;TEXT(COUNTIF($G$3:G129,G129),"000"),IF(G129="CIVIL","CIV-"&amp;TEXT(COUNTIF($G$3:G129,G129),"000"),IF(G129="GANIS","GAN-"&amp;TEXT(COUNTIF($G$3:G129,G129),"000"),IF(G129="ENGINEERING","ENG-"&amp;TEXT(COUNTIF($G$3:G129,G129),"000"),IF(G129="PRODUKSI","PRO-"&amp;TEXT(COUNTIF($G$3:G129,G129),"000"),IF(G129="SURVEY","SUR-"&amp;TEXT(COUNTIF($G$3:G129,G129),"000"),"")))))))))))</f>
        <v>QAQC-020</v>
      </c>
      <c r="I129" s="2"/>
      <c r="J129" s="2"/>
    </row>
    <row r="130" spans="2:10" ht="15.5">
      <c r="B130" s="4" t="s">
        <v>280</v>
      </c>
      <c r="C130" s="11" t="s">
        <v>272</v>
      </c>
      <c r="D130" s="36"/>
      <c r="E130" s="40" t="s">
        <v>273</v>
      </c>
      <c r="F130" s="39"/>
      <c r="G130" s="12" t="s">
        <v>232</v>
      </c>
      <c r="H130" s="1" t="str">
        <f>IF(G130="","",IF(G130="EKSPLORASI","EXP-"&amp;TEXT(COUNTIF($G$3:G130,G130),"000"),IF(G130="HSE","HSE-"&amp;TEXT(COUNTIF($G$3:G130,G130),"000"),IF(G130="QAQC","QAQC-"&amp;TEXT(COUNTIF($G$3:G130,G130),"000"),IF(G130="HCGA","HCGA-"&amp;TEXT(COUNTIF($G$3:G130,G130),"000"),IF(G130="MAINTENANCE","MNT-"&amp;TEXT(COUNTIF($G$3:G130,G130),"000"),IF(G130="CIVIL","CIV-"&amp;TEXT(COUNTIF($G$3:G130,G130),"000"),IF(G130="GANIS","GAN-"&amp;TEXT(COUNTIF($G$3:G130,G130),"000"),IF(G130="ENGINEERING","ENG-"&amp;TEXT(COUNTIF($G$3:G130,G130),"000"),IF(G130="PRODUKSI","PRO-"&amp;TEXT(COUNTIF($G$3:G130,G130),"000"),IF(G130="SURVEY","SUR-"&amp;TEXT(COUNTIF($G$3:G130,G130),"000"),"")))))))))))</f>
        <v>QAQC-021</v>
      </c>
      <c r="I130" s="2"/>
      <c r="J130" s="2"/>
    </row>
    <row r="131" spans="2:10" ht="15.5">
      <c r="B131" s="4" t="s">
        <v>283</v>
      </c>
      <c r="C131" s="11" t="s">
        <v>275</v>
      </c>
      <c r="D131" s="36">
        <v>15000</v>
      </c>
      <c r="E131" s="40" t="s">
        <v>14</v>
      </c>
      <c r="F131" s="39" t="s">
        <v>1085</v>
      </c>
      <c r="G131" s="12" t="s">
        <v>232</v>
      </c>
      <c r="H131" s="1" t="str">
        <f>IF(G131="","",IF(G131="EKSPLORASI","EXP-"&amp;TEXT(COUNTIF($G$3:G131,G131),"000"),IF(G131="HSE","HSE-"&amp;TEXT(COUNTIF($G$3:G131,G131),"000"),IF(G131="QAQC","QAQC-"&amp;TEXT(COUNTIF($G$3:G131,G131),"000"),IF(G131="HCGA","HCGA-"&amp;TEXT(COUNTIF($G$3:G131,G131),"000"),IF(G131="MAINTENANCE","MNT-"&amp;TEXT(COUNTIF($G$3:G131,G131),"000"),IF(G131="CIVIL","CIV-"&amp;TEXT(COUNTIF($G$3:G131,G131),"000"),IF(G131="GANIS","GAN-"&amp;TEXT(COUNTIF($G$3:G131,G131),"000"),IF(G131="ENGINEERING","ENG-"&amp;TEXT(COUNTIF($G$3:G131,G131),"000"),IF(G131="PRODUKSI","PRO-"&amp;TEXT(COUNTIF($G$3:G131,G131),"000"),IF(G131="SURVEY","SUR-"&amp;TEXT(COUNTIF($G$3:G131,G131),"000"),"")))))))))))</f>
        <v>QAQC-022</v>
      </c>
      <c r="I131" s="2"/>
      <c r="J131" s="2"/>
    </row>
    <row r="132" spans="2:10" ht="15.5">
      <c r="B132" s="4" t="s">
        <v>284</v>
      </c>
      <c r="C132" s="11" t="s">
        <v>277</v>
      </c>
      <c r="D132" s="36"/>
      <c r="E132" s="40" t="s">
        <v>14</v>
      </c>
      <c r="F132" s="39"/>
      <c r="G132" s="12" t="s">
        <v>232</v>
      </c>
      <c r="H132" s="1" t="str">
        <f>IF(G132="","",IF(G132="EKSPLORASI","EXP-"&amp;TEXT(COUNTIF($G$3:G132,G132),"000"),IF(G132="HSE","HSE-"&amp;TEXT(COUNTIF($G$3:G132,G132),"000"),IF(G132="QAQC","QAQC-"&amp;TEXT(COUNTIF($G$3:G132,G132),"000"),IF(G132="HCGA","HCGA-"&amp;TEXT(COUNTIF($G$3:G132,G132),"000"),IF(G132="MAINTENANCE","MNT-"&amp;TEXT(COUNTIF($G$3:G132,G132),"000"),IF(G132="CIVIL","CIV-"&amp;TEXT(COUNTIF($G$3:G132,G132),"000"),IF(G132="GANIS","GAN-"&amp;TEXT(COUNTIF($G$3:G132,G132),"000"),IF(G132="ENGINEERING","ENG-"&amp;TEXT(COUNTIF($G$3:G132,G132),"000"),IF(G132="PRODUKSI","PRO-"&amp;TEXT(COUNTIF($G$3:G132,G132),"000"),IF(G132="SURVEY","SUR-"&amp;TEXT(COUNTIF($G$3:G132,G132),"000"),"")))))))))))</f>
        <v>QAQC-023</v>
      </c>
      <c r="I132" s="2"/>
      <c r="J132" s="2"/>
    </row>
    <row r="133" spans="2:10" ht="15.5">
      <c r="B133" s="4" t="s">
        <v>286</v>
      </c>
      <c r="C133" s="11" t="s">
        <v>279</v>
      </c>
      <c r="D133" s="47"/>
      <c r="E133" s="40" t="s">
        <v>46</v>
      </c>
      <c r="F133" s="38"/>
      <c r="G133" s="12" t="s">
        <v>232</v>
      </c>
      <c r="H133" s="1" t="str">
        <f>IF(G133="","",IF(G133="EKSPLORASI","EXP-"&amp;TEXT(COUNTIF($G$3:G133,G133),"000"),IF(G133="HSE","HSE-"&amp;TEXT(COUNTIF($G$3:G133,G133),"000"),IF(G133="QAQC","QAQC-"&amp;TEXT(COUNTIF($G$3:G133,G133),"000"),IF(G133="HCGA","HCGA-"&amp;TEXT(COUNTIF($G$3:G133,G133),"000"),IF(G133="MAINTENANCE","MNT-"&amp;TEXT(COUNTIF($G$3:G133,G133),"000"),IF(G133="CIVIL","CIV-"&amp;TEXT(COUNTIF($G$3:G133,G133),"000"),IF(G133="GANIS","GAN-"&amp;TEXT(COUNTIF($G$3:G133,G133),"000"),IF(G133="ENGINEERING","ENG-"&amp;TEXT(COUNTIF($G$3:G133,G133),"000"),IF(G133="PRODUKSI","PRO-"&amp;TEXT(COUNTIF($G$3:G133,G133),"000"),IF(G133="SURVEY","SUR-"&amp;TEXT(COUNTIF($G$3:G133,G133),"000"),"")))))))))))</f>
        <v>QAQC-024</v>
      </c>
      <c r="I133" s="2"/>
      <c r="J133" s="2"/>
    </row>
    <row r="134" spans="2:10" ht="15.5">
      <c r="B134" s="4" t="s">
        <v>288</v>
      </c>
      <c r="C134" s="11" t="s">
        <v>281</v>
      </c>
      <c r="D134" s="36"/>
      <c r="E134" s="40" t="s">
        <v>282</v>
      </c>
      <c r="F134" s="39"/>
      <c r="G134" s="12" t="s">
        <v>232</v>
      </c>
      <c r="H134" s="1" t="str">
        <f>IF(G134="","",IF(G134="EKSPLORASI","EXP-"&amp;TEXT(COUNTIF($G$3:G134,G134),"000"),IF(G134="HSE","HSE-"&amp;TEXT(COUNTIF($G$3:G134,G134),"000"),IF(G134="QAQC","QAQC-"&amp;TEXT(COUNTIF($G$3:G134,G134),"000"),IF(G134="HCGA","HCGA-"&amp;TEXT(COUNTIF($G$3:G134,G134),"000"),IF(G134="MAINTENANCE","MNT-"&amp;TEXT(COUNTIF($G$3:G134,G134),"000"),IF(G134="CIVIL","CIV-"&amp;TEXT(COUNTIF($G$3:G134,G134),"000"),IF(G134="GANIS","GAN-"&amp;TEXT(COUNTIF($G$3:G134,G134),"000"),IF(G134="ENGINEERING","ENG-"&amp;TEXT(COUNTIF($G$3:G134,G134),"000"),IF(G134="PRODUKSI","PRO-"&amp;TEXT(COUNTIF($G$3:G134,G134),"000"),IF(G134="SURVEY","SUR-"&amp;TEXT(COUNTIF($G$3:G134,G134),"000"),"")))))))))))</f>
        <v>QAQC-025</v>
      </c>
      <c r="I134" s="2"/>
      <c r="J134" s="2"/>
    </row>
    <row r="135" spans="2:10" ht="15.5">
      <c r="B135" s="4" t="s">
        <v>290</v>
      </c>
      <c r="C135" s="11" t="s">
        <v>73</v>
      </c>
      <c r="D135" s="36">
        <v>20000</v>
      </c>
      <c r="E135" s="40" t="s">
        <v>74</v>
      </c>
      <c r="F135" s="34" t="s">
        <v>1089</v>
      </c>
      <c r="G135" s="12" t="s">
        <v>232</v>
      </c>
      <c r="H135" s="1" t="str">
        <f>IF(G135="","",IF(G135="EKSPLORASI","EXP-"&amp;TEXT(COUNTIF($G$3:G135,G135),"000"),IF(G135="HSE","HSE-"&amp;TEXT(COUNTIF($G$3:G135,G135),"000"),IF(G135="QAQC","QAQC-"&amp;TEXT(COUNTIF($G$3:G135,G135),"000"),IF(G135="HCGA","HCGA-"&amp;TEXT(COUNTIF($G$3:G135,G135),"000"),IF(G135="MAINTENANCE","MNT-"&amp;TEXT(COUNTIF($G$3:G135,G135),"000"),IF(G135="CIVIL","CIV-"&amp;TEXT(COUNTIF($G$3:G135,G135),"000"),IF(G135="GANIS","GAN-"&amp;TEXT(COUNTIF($G$3:G135,G135),"000"),IF(G135="ENGINEERING","ENG-"&amp;TEXT(COUNTIF($G$3:G135,G135),"000"),IF(G135="PRODUKSI","PRO-"&amp;TEXT(COUNTIF($G$3:G135,G135),"000"),IF(G135="SURVEY","SUR-"&amp;TEXT(COUNTIF($G$3:G135,G135),"000"),"")))))))))))</f>
        <v>QAQC-026</v>
      </c>
      <c r="I135" s="2"/>
      <c r="J135" s="2"/>
    </row>
    <row r="136" spans="2:10" ht="15.5">
      <c r="B136" s="4" t="s">
        <v>292</v>
      </c>
      <c r="C136" s="11" t="s">
        <v>285</v>
      </c>
      <c r="D136" s="36">
        <v>20000</v>
      </c>
      <c r="E136" s="40" t="s">
        <v>74</v>
      </c>
      <c r="F136" s="34" t="s">
        <v>1089</v>
      </c>
      <c r="G136" s="12" t="s">
        <v>232</v>
      </c>
      <c r="H136" s="1" t="str">
        <f>IF(G136="","",IF(G136="EKSPLORASI","EXP-"&amp;TEXT(COUNTIF($G$3:G136,G136),"000"),IF(G136="HSE","HSE-"&amp;TEXT(COUNTIF($G$3:G136,G136),"000"),IF(G136="QAQC","QAQC-"&amp;TEXT(COUNTIF($G$3:G136,G136),"000"),IF(G136="HCGA","HCGA-"&amp;TEXT(COUNTIF($G$3:G136,G136),"000"),IF(G136="MAINTENANCE","MNT-"&amp;TEXT(COUNTIF($G$3:G136,G136),"000"),IF(G136="CIVIL","CIV-"&amp;TEXT(COUNTIF($G$3:G136,G136),"000"),IF(G136="GANIS","GAN-"&amp;TEXT(COUNTIF($G$3:G136,G136),"000"),IF(G136="ENGINEERING","ENG-"&amp;TEXT(COUNTIF($G$3:G136,G136),"000"),IF(G136="PRODUKSI","PRO-"&amp;TEXT(COUNTIF($G$3:G136,G136),"000"),IF(G136="SURVEY","SUR-"&amp;TEXT(COUNTIF($G$3:G136,G136),"000"),"")))))))))))</f>
        <v>QAQC-027</v>
      </c>
      <c r="I136" s="2"/>
      <c r="J136" s="2"/>
    </row>
    <row r="137" spans="2:10" ht="15.5">
      <c r="B137" s="4" t="s">
        <v>294</v>
      </c>
      <c r="C137" s="11" t="s">
        <v>287</v>
      </c>
      <c r="D137" s="36">
        <v>20000</v>
      </c>
      <c r="E137" s="40" t="s">
        <v>74</v>
      </c>
      <c r="F137" s="34" t="s">
        <v>1089</v>
      </c>
      <c r="G137" s="12" t="s">
        <v>232</v>
      </c>
      <c r="H137" s="1" t="str">
        <f>IF(G137="","",IF(G137="EKSPLORASI","EXP-"&amp;TEXT(COUNTIF($G$3:G137,G137),"000"),IF(G137="HSE","HSE-"&amp;TEXT(COUNTIF($G$3:G137,G137),"000"),IF(G137="QAQC","QAQC-"&amp;TEXT(COUNTIF($G$3:G137,G137),"000"),IF(G137="HCGA","HCGA-"&amp;TEXT(COUNTIF($G$3:G137,G137),"000"),IF(G137="MAINTENANCE","MNT-"&amp;TEXT(COUNTIF($G$3:G137,G137),"000"),IF(G137="CIVIL","CIV-"&amp;TEXT(COUNTIF($G$3:G137,G137),"000"),IF(G137="GANIS","GAN-"&amp;TEXT(COUNTIF($G$3:G137,G137),"000"),IF(G137="ENGINEERING","ENG-"&amp;TEXT(COUNTIF($G$3:G137,G137),"000"),IF(G137="PRODUKSI","PRO-"&amp;TEXT(COUNTIF($G$3:G137,G137),"000"),IF(G137="SURVEY","SUR-"&amp;TEXT(COUNTIF($G$3:G137,G137),"000"),"")))))))))))</f>
        <v>QAQC-028</v>
      </c>
      <c r="I137" s="2"/>
      <c r="J137" s="2"/>
    </row>
    <row r="138" spans="2:10" ht="15.5">
      <c r="B138" s="4" t="s">
        <v>296</v>
      </c>
      <c r="C138" s="11" t="s">
        <v>289</v>
      </c>
      <c r="D138" s="36">
        <v>20000</v>
      </c>
      <c r="E138" s="40" t="s">
        <v>74</v>
      </c>
      <c r="F138" s="34" t="s">
        <v>1089</v>
      </c>
      <c r="G138" s="12" t="s">
        <v>232</v>
      </c>
      <c r="H138" s="1" t="str">
        <f>IF(G138="","",IF(G138="EKSPLORASI","EXP-"&amp;TEXT(COUNTIF($G$3:G138,G138),"000"),IF(G138="HSE","HSE-"&amp;TEXT(COUNTIF($G$3:G138,G138),"000"),IF(G138="QAQC","QAQC-"&amp;TEXT(COUNTIF($G$3:G138,G138),"000"),IF(G138="HCGA","HCGA-"&amp;TEXT(COUNTIF($G$3:G138,G138),"000"),IF(G138="MAINTENANCE","MNT-"&amp;TEXT(COUNTIF($G$3:G138,G138),"000"),IF(G138="CIVIL","CIV-"&amp;TEXT(COUNTIF($G$3:G138,G138),"000"),IF(G138="GANIS","GAN-"&amp;TEXT(COUNTIF($G$3:G138,G138),"000"),IF(G138="ENGINEERING","ENG-"&amp;TEXT(COUNTIF($G$3:G138,G138),"000"),IF(G138="PRODUKSI","PRO-"&amp;TEXT(COUNTIF($G$3:G138,G138),"000"),IF(G138="SURVEY","SUR-"&amp;TEXT(COUNTIF($G$3:G138,G138),"000"),"")))))))))))</f>
        <v>QAQC-029</v>
      </c>
      <c r="I138" s="2"/>
      <c r="J138" s="2"/>
    </row>
    <row r="139" spans="2:10" ht="15.5">
      <c r="B139" s="4" t="s">
        <v>298</v>
      </c>
      <c r="C139" s="11" t="s">
        <v>291</v>
      </c>
      <c r="D139" s="36">
        <v>90000</v>
      </c>
      <c r="E139" s="40" t="s">
        <v>171</v>
      </c>
      <c r="F139" s="39"/>
      <c r="G139" s="12" t="s">
        <v>232</v>
      </c>
      <c r="H139" s="1" t="str">
        <f>IF(G139="","",IF(G139="EKSPLORASI","EXP-"&amp;TEXT(COUNTIF($G$3:G139,G139),"000"),IF(G139="HSE","HSE-"&amp;TEXT(COUNTIF($G$3:G139,G139),"000"),IF(G139="QAQC","QAQC-"&amp;TEXT(COUNTIF($G$3:G139,G139),"000"),IF(G139="HCGA","HCGA-"&amp;TEXT(COUNTIF($G$3:G139,G139),"000"),IF(G139="MAINTENANCE","MNT-"&amp;TEXT(COUNTIF($G$3:G139,G139),"000"),IF(G139="CIVIL","CIV-"&amp;TEXT(COUNTIF($G$3:G139,G139),"000"),IF(G139="GANIS","GAN-"&amp;TEXT(COUNTIF($G$3:G139,G139),"000"),IF(G139="ENGINEERING","ENG-"&amp;TEXT(COUNTIF($G$3:G139,G139),"000"),IF(G139="PRODUKSI","PRO-"&amp;TEXT(COUNTIF($G$3:G139,G139),"000"),IF(G139="SURVEY","SUR-"&amp;TEXT(COUNTIF($G$3:G139,G139),"000"),"")))))))))))</f>
        <v>QAQC-030</v>
      </c>
      <c r="I139" s="2"/>
      <c r="J139" s="2"/>
    </row>
    <row r="140" spans="2:10" ht="15.5">
      <c r="B140" s="4" t="s">
        <v>300</v>
      </c>
      <c r="C140" s="11" t="s">
        <v>293</v>
      </c>
      <c r="D140" s="36"/>
      <c r="E140" s="40" t="s">
        <v>14</v>
      </c>
      <c r="F140" s="39"/>
      <c r="G140" s="12" t="s">
        <v>232</v>
      </c>
      <c r="H140" s="1" t="str">
        <f>IF(G140="","",IF(G140="EKSPLORASI","EXP-"&amp;TEXT(COUNTIF($G$3:G140,G140),"000"),IF(G140="HSE","HSE-"&amp;TEXT(COUNTIF($G$3:G140,G140),"000"),IF(G140="QAQC","QAQC-"&amp;TEXT(COUNTIF($G$3:G140,G140),"000"),IF(G140="HCGA","HCGA-"&amp;TEXT(COUNTIF($G$3:G140,G140),"000"),IF(G140="MAINTENANCE","MNT-"&amp;TEXT(COUNTIF($G$3:G140,G140),"000"),IF(G140="CIVIL","CIV-"&amp;TEXT(COUNTIF($G$3:G140,G140),"000"),IF(G140="GANIS","GAN-"&amp;TEXT(COUNTIF($G$3:G140,G140),"000"),IF(G140="ENGINEERING","ENG-"&amp;TEXT(COUNTIF($G$3:G140,G140),"000"),IF(G140="PRODUKSI","PRO-"&amp;TEXT(COUNTIF($G$3:G140,G140),"000"),IF(G140="SURVEY","SUR-"&amp;TEXT(COUNTIF($G$3:G140,G140),"000"),"")))))))))))</f>
        <v>QAQC-031</v>
      </c>
      <c r="I140" s="2"/>
      <c r="J140" s="2"/>
    </row>
    <row r="141" spans="2:10" ht="15.5">
      <c r="B141" s="4" t="s">
        <v>302</v>
      </c>
      <c r="C141" s="11" t="s">
        <v>295</v>
      </c>
      <c r="D141" s="36"/>
      <c r="E141" s="40" t="s">
        <v>25</v>
      </c>
      <c r="F141" s="39"/>
      <c r="G141" s="12" t="s">
        <v>232</v>
      </c>
      <c r="H141" s="1" t="str">
        <f>IF(G141="","",IF(G141="EKSPLORASI","EXP-"&amp;TEXT(COUNTIF($G$3:G141,G141),"000"),IF(G141="HSE","HSE-"&amp;TEXT(COUNTIF($G$3:G141,G141),"000"),IF(G141="QAQC","QAQC-"&amp;TEXT(COUNTIF($G$3:G141,G141),"000"),IF(G141="HCGA","HCGA-"&amp;TEXT(COUNTIF($G$3:G141,G141),"000"),IF(G141="MAINTENANCE","MNT-"&amp;TEXT(COUNTIF($G$3:G141,G141),"000"),IF(G141="CIVIL","CIV-"&amp;TEXT(COUNTIF($G$3:G141,G141),"000"),IF(G141="GANIS","GAN-"&amp;TEXT(COUNTIF($G$3:G141,G141),"000"),IF(G141="ENGINEERING","ENG-"&amp;TEXT(COUNTIF($G$3:G141,G141),"000"),IF(G141="PRODUKSI","PRO-"&amp;TEXT(COUNTIF($G$3:G141,G141),"000"),IF(G141="SURVEY","SUR-"&amp;TEXT(COUNTIF($G$3:G141,G141),"000"),"")))))))))))</f>
        <v>QAQC-032</v>
      </c>
      <c r="I141" s="2"/>
      <c r="J141" s="2"/>
    </row>
    <row r="142" spans="2:10" ht="15.5">
      <c r="B142" s="4" t="s">
        <v>304</v>
      </c>
      <c r="C142" s="11" t="s">
        <v>297</v>
      </c>
      <c r="D142" s="36"/>
      <c r="E142" s="40" t="s">
        <v>84</v>
      </c>
      <c r="F142" s="39"/>
      <c r="G142" s="12" t="s">
        <v>232</v>
      </c>
      <c r="H142" s="2" t="str">
        <f>IF(G142="","",IF(G142="EKSPLORASI","EXP-"&amp;TEXT(COUNTIF($G$3:G142,G142),"000"),IF(G142="HSE","HSE-"&amp;TEXT(COUNTIF($G$3:G142,G142),"000"),IF(G142="QAQC","QAQC-"&amp;TEXT(COUNTIF($G$3:G142,G142),"000"),IF(G142="HCGA","HCGA-"&amp;TEXT(COUNTIF($G$3:G142,G142),"000"),IF(G142="MAINTENANCE","MNT-"&amp;TEXT(COUNTIF($G$3:G142,G142),"000"),IF(G142="CIVIL","CIV-"&amp;TEXT(COUNTIF($G$3:G142,G142),"000"),IF(G142="GANIS","GAN-"&amp;TEXT(COUNTIF($G$3:G142,G142),"000"),IF(G142="ENGINEERING","ENG-"&amp;TEXT(COUNTIF($G$3:G142,G142),"000"),IF(G142="PRODUKSI","PRO-"&amp;TEXT(COUNTIF($G$3:G142,G142),"000"),IF(G142="SURVEY","SUR-"&amp;TEXT(COUNTIF($G$3:G142,G142),"000"),"")))))))))))</f>
        <v>QAQC-033</v>
      </c>
      <c r="I142" s="2"/>
      <c r="J142" s="2"/>
    </row>
    <row r="143" spans="2:10" ht="15.5">
      <c r="B143" s="4" t="s">
        <v>305</v>
      </c>
      <c r="C143" s="11" t="s">
        <v>299</v>
      </c>
      <c r="D143" s="36"/>
      <c r="E143" s="40" t="s">
        <v>84</v>
      </c>
      <c r="F143" s="39"/>
      <c r="G143" s="12" t="s">
        <v>232</v>
      </c>
      <c r="H143" s="2" t="str">
        <f>IF(G143="","",IF(G143="EKSPLORASI","EXP-"&amp;TEXT(COUNTIF($G$3:G143,G143),"000"),IF(G143="HSE","HSE-"&amp;TEXT(COUNTIF($G$3:G143,G143),"000"),IF(G143="QAQC","QAQC-"&amp;TEXT(COUNTIF($G$3:G143,G143),"000"),IF(G143="HCGA","HCGA-"&amp;TEXT(COUNTIF($G$3:G143,G143),"000"),IF(G143="MAINTENANCE","MNT-"&amp;TEXT(COUNTIF($G$3:G143,G143),"000"),IF(G143="CIVIL","CIV-"&amp;TEXT(COUNTIF($G$3:G143,G143),"000"),IF(G143="GANIS","GAN-"&amp;TEXT(COUNTIF($G$3:G143,G143),"000"),IF(G143="ENGINEERING","ENG-"&amp;TEXT(COUNTIF($G$3:G143,G143),"000"),IF(G143="PRODUKSI","PRO-"&amp;TEXT(COUNTIF($G$3:G143,G143),"000"),IF(G143="SURVEY","SUR-"&amp;TEXT(COUNTIF($G$3:G143,G143),"000"),"")))))))))))</f>
        <v>QAQC-034</v>
      </c>
      <c r="I143" s="2"/>
      <c r="J143" s="2"/>
    </row>
    <row r="144" spans="2:10" ht="15.5">
      <c r="B144" s="4" t="s">
        <v>307</v>
      </c>
      <c r="C144" s="11" t="s">
        <v>301</v>
      </c>
      <c r="D144" s="36"/>
      <c r="E144" s="40" t="s">
        <v>84</v>
      </c>
      <c r="F144" s="39"/>
      <c r="G144" s="12" t="s">
        <v>232</v>
      </c>
      <c r="H144" s="2" t="str">
        <f>IF(G144="","",IF(G144="EKSPLORASI","EXP-"&amp;TEXT(COUNTIF($G$3:G144,G144),"000"),IF(G144="HSE","HSE-"&amp;TEXT(COUNTIF($G$3:G144,G144),"000"),IF(G144="QAQC","QAQC-"&amp;TEXT(COUNTIF($G$3:G144,G144),"000"),IF(G144="HCGA","HCGA-"&amp;TEXT(COUNTIF($G$3:G144,G144),"000"),IF(G144="MAINTENANCE","MNT-"&amp;TEXT(COUNTIF($G$3:G144,G144),"000"),IF(G144="CIVIL","CIV-"&amp;TEXT(COUNTIF($G$3:G144,G144),"000"),IF(G144="GANIS","GAN-"&amp;TEXT(COUNTIF($G$3:G144,G144),"000"),IF(G144="ENGINEERING","ENG-"&amp;TEXT(COUNTIF($G$3:G144,G144),"000"),IF(G144="PRODUKSI","PRO-"&amp;TEXT(COUNTIF($G$3:G144,G144),"000"),IF(G144="SURVEY","SUR-"&amp;TEXT(COUNTIF($G$3:G144,G144),"000"),"")))))))))))</f>
        <v>QAQC-035</v>
      </c>
      <c r="I144" s="2"/>
      <c r="J144" s="2"/>
    </row>
    <row r="145" spans="2:11" ht="15.5">
      <c r="B145" s="4" t="s">
        <v>309</v>
      </c>
      <c r="C145" s="11" t="s">
        <v>303</v>
      </c>
      <c r="D145" s="36"/>
      <c r="E145" s="40" t="s">
        <v>84</v>
      </c>
      <c r="F145" s="39"/>
      <c r="G145" s="12" t="s">
        <v>232</v>
      </c>
      <c r="H145" s="2" t="str">
        <f>IF(G145="","",IF(G145="EKSPLORASI","EXP-"&amp;TEXT(COUNTIF($G$3:G145,G145),"000"),IF(G145="HSE","HSE-"&amp;TEXT(COUNTIF($G$3:G145,G145),"000"),IF(G145="QAQC","QAQC-"&amp;TEXT(COUNTIF($G$3:G145,G145),"000"),IF(G145="HCGA","HCGA-"&amp;TEXT(COUNTIF($G$3:G145,G145),"000"),IF(G145="MAINTENANCE","MNT-"&amp;TEXT(COUNTIF($G$3:G145,G145),"000"),IF(G145="CIVIL","CIV-"&amp;TEXT(COUNTIF($G$3:G145,G145),"000"),IF(G145="GANIS","GAN-"&amp;TEXT(COUNTIF($G$3:G145,G145),"000"),IF(G145="ENGINEERING","ENG-"&amp;TEXT(COUNTIF($G$3:G145,G145),"000"),IF(G145="PRODUKSI","PRO-"&amp;TEXT(COUNTIF($G$3:G145,G145),"000"),IF(G145="SURVEY","SUR-"&amp;TEXT(COUNTIF($G$3:G145,G145),"000"),"")))))))))))</f>
        <v>QAQC-036</v>
      </c>
      <c r="I145" s="2"/>
      <c r="J145" s="2"/>
    </row>
    <row r="146" spans="2:11" ht="15.5">
      <c r="B146" s="4" t="s">
        <v>311</v>
      </c>
      <c r="C146" s="11" t="s">
        <v>36</v>
      </c>
      <c r="D146" s="47">
        <v>160000</v>
      </c>
      <c r="E146" s="40" t="s">
        <v>84</v>
      </c>
      <c r="F146" s="39"/>
      <c r="G146" s="12" t="s">
        <v>232</v>
      </c>
      <c r="H146" s="2" t="str">
        <f>IF(G146="","",IF(G146="EKSPLORASI","EXP-"&amp;TEXT(COUNTIF($G$3:G146,G146),"000"),IF(G146="HSE","HSE-"&amp;TEXT(COUNTIF($G$3:G146,G146),"000"),IF(G146="QAQC","QAQC-"&amp;TEXT(COUNTIF($G$3:G146,G146),"000"),IF(G146="HCGA","HCGA-"&amp;TEXT(COUNTIF($G$3:G146,G146),"000"),IF(G146="MAINTENANCE","MNT-"&amp;TEXT(COUNTIF($G$3:G146,G146),"000"),IF(G146="CIVIL","CIV-"&amp;TEXT(COUNTIF($G$3:G146,G146),"000"),IF(G146="GANIS","GAN-"&amp;TEXT(COUNTIF($G$3:G146,G146),"000"),IF(G146="ENGINEERING","ENG-"&amp;TEXT(COUNTIF($G$3:G146,G146),"000"),IF(G146="PRODUKSI","PRO-"&amp;TEXT(COUNTIF($G$3:G146,G146),"000"),IF(G146="SURVEY","SUR-"&amp;TEXT(COUNTIF($G$3:G146,G146),"000"),"")))))))))))</f>
        <v>QAQC-037</v>
      </c>
      <c r="I146" s="2"/>
      <c r="J146" s="2"/>
    </row>
    <row r="147" spans="2:11" ht="15.5">
      <c r="B147" s="4" t="s">
        <v>313</v>
      </c>
      <c r="C147" s="8" t="s">
        <v>31</v>
      </c>
      <c r="D147" s="47">
        <v>5000</v>
      </c>
      <c r="E147" s="41" t="s">
        <v>25</v>
      </c>
      <c r="F147" s="34" t="s">
        <v>1084</v>
      </c>
      <c r="G147" s="9" t="s">
        <v>10</v>
      </c>
      <c r="H147" s="1" t="str">
        <f>IF(G147="","",IF(G147="EKSPLORASI","EXP-"&amp;TEXT(COUNTIF($G$3:G147,G147),"000"),IF(G147="HSE","HSE-"&amp;TEXT(COUNTIF($G$3:G147,G147),"000"),IF(G147="QAQC","QAQC-"&amp;TEXT(COUNTIF($G$3:G147,G147),"000"),IF(G147="HCGA","HCGA-"&amp;TEXT(COUNTIF($G$3:G147,G147),"000"),IF(G147="MAINTENANCE","MNT-"&amp;TEXT(COUNTIF($G$3:G147,G147),"000"),IF(G147="CIVIL","CIV-"&amp;TEXT(COUNTIF($G$3:G147,G147),"000"),IF(G147="GANIS","GAN-"&amp;TEXT(COUNTIF($G$3:G147,G147),"000"),IF(G147="ENGINEERING","ENG-"&amp;TEXT(COUNTIF($G$3:G147,G147),"000"),IF(G147="PRODUKSI","PRO-"&amp;TEXT(COUNTIF($G$3:G147,G147),"000"),IF(G147="SURVEY","SUR-"&amp;TEXT(COUNTIF($G$3:G147,G147),"000"),"")))))))))))</f>
        <v>EXP-107</v>
      </c>
      <c r="I147" s="2"/>
      <c r="J147" s="2"/>
    </row>
    <row r="148" spans="2:11" ht="15.5">
      <c r="B148" s="4" t="s">
        <v>315</v>
      </c>
      <c r="C148" s="11" t="s">
        <v>308</v>
      </c>
      <c r="D148" s="36"/>
      <c r="E148" s="40" t="s">
        <v>14</v>
      </c>
      <c r="F148" s="39"/>
      <c r="G148" s="12" t="s">
        <v>232</v>
      </c>
      <c r="H148" s="2" t="str">
        <f>IF(G148="","",IF(G148="EKSPLORASI","EXP-"&amp;TEXT(COUNTIF($G$3:G148,G148),"000"),IF(G148="HSE","HSE-"&amp;TEXT(COUNTIF($G$3:G148,G148),"000"),IF(G148="QAQC","QAQC-"&amp;TEXT(COUNTIF($G$3:G148,G148),"000"),IF(G148="HCGA","HCGA-"&amp;TEXT(COUNTIF($G$3:G148,G148),"000"),IF(G148="MAINTENANCE","MNT-"&amp;TEXT(COUNTIF($G$3:G148,G148),"000"),IF(G148="CIVIL","CIV-"&amp;TEXT(COUNTIF($G$3:G148,G148),"000"),IF(G148="GANIS","GAN-"&amp;TEXT(COUNTIF($G$3:G148,G148),"000"),IF(G148="ENGINEERING","ENG-"&amp;TEXT(COUNTIF($G$3:G148,G148),"000"),IF(G148="PRODUKSI","PRO-"&amp;TEXT(COUNTIF($G$3:G148,G148),"000"),IF(G148="SURVEY","SUR-"&amp;TEXT(COUNTIF($G$3:G148,G148),"000"),"")))))))))))</f>
        <v>QAQC-038</v>
      </c>
      <c r="I148" s="2"/>
      <c r="J148" s="2"/>
    </row>
    <row r="149" spans="2:11" ht="15.5">
      <c r="B149" s="4" t="s">
        <v>317</v>
      </c>
      <c r="C149" s="11" t="s">
        <v>310</v>
      </c>
      <c r="D149" s="36"/>
      <c r="E149" s="40" t="s">
        <v>14</v>
      </c>
      <c r="F149" s="39"/>
      <c r="G149" s="12" t="s">
        <v>232</v>
      </c>
      <c r="H149" s="2" t="str">
        <f>IF(G149="","",IF(G149="EKSPLORASI","EXP-"&amp;TEXT(COUNTIF($G$3:G149,G149),"000"),IF(G149="HSE","HSE-"&amp;TEXT(COUNTIF($G$3:G149,G149),"000"),IF(G149="QAQC","QAQC-"&amp;TEXT(COUNTIF($G$3:G149,G149),"000"),IF(G149="HCGA","HCGA-"&amp;TEXT(COUNTIF($G$3:G149,G149),"000"),IF(G149="MAINTENANCE","MNT-"&amp;TEXT(COUNTIF($G$3:G149,G149),"000"),IF(G149="CIVIL","CIV-"&amp;TEXT(COUNTIF($G$3:G149,G149),"000"),IF(G149="GANIS","GAN-"&amp;TEXT(COUNTIF($G$3:G149,G149),"000"),IF(G149="ENGINEERING","ENG-"&amp;TEXT(COUNTIF($G$3:G149,G149),"000"),IF(G149="PRODUKSI","PRO-"&amp;TEXT(COUNTIF($G$3:G149,G149),"000"),IF(G149="SURVEY","SUR-"&amp;TEXT(COUNTIF($G$3:G149,G149),"000"),"")))))))))))</f>
        <v>QAQC-039</v>
      </c>
      <c r="I149" s="2"/>
      <c r="J149" s="2"/>
    </row>
    <row r="150" spans="2:11" ht="15.5">
      <c r="B150" s="4" t="s">
        <v>319</v>
      </c>
      <c r="C150" s="11" t="s">
        <v>312</v>
      </c>
      <c r="D150" s="46"/>
      <c r="E150" s="40" t="s">
        <v>14</v>
      </c>
      <c r="F150" s="32"/>
      <c r="G150" s="12" t="s">
        <v>232</v>
      </c>
      <c r="H150" s="2" t="str">
        <f>IF(G150="","",IF(G150="EKSPLORASI","EXP-"&amp;TEXT(COUNTIF($G$3:G150,G150),"000"),IF(G150="HSE","HSE-"&amp;TEXT(COUNTIF($G$3:G150,G150),"000"),IF(G150="QAQC","QAQC-"&amp;TEXT(COUNTIF($G$3:G150,G150),"000"),IF(G150="HCGA","HCGA-"&amp;TEXT(COUNTIF($G$3:G150,G150),"000"),IF(G150="MAINTENANCE","MNT-"&amp;TEXT(COUNTIF($G$3:G150,G150),"000"),IF(G150="CIVIL","CIV-"&amp;TEXT(COUNTIF($G$3:G150,G150),"000"),IF(G150="GANIS","GAN-"&amp;TEXT(COUNTIF($G$3:G150,G150),"000"),IF(G150="ENGINEERING","ENG-"&amp;TEXT(COUNTIF($G$3:G150,G150),"000"),IF(G150="PRODUKSI","PRO-"&amp;TEXT(COUNTIF($G$3:G150,G150),"000"),IF(G150="SURVEY","SUR-"&amp;TEXT(COUNTIF($G$3:G150,G150),"000"),"")))))))))))</f>
        <v>QAQC-040</v>
      </c>
      <c r="I150" s="2"/>
      <c r="J150" s="2"/>
    </row>
    <row r="151" spans="2:11" ht="15.5">
      <c r="B151" s="4" t="s">
        <v>321</v>
      </c>
      <c r="C151" s="11" t="s">
        <v>314</v>
      </c>
      <c r="D151" s="48"/>
      <c r="E151" s="40" t="s">
        <v>74</v>
      </c>
      <c r="F151" s="42"/>
      <c r="G151" s="12" t="s">
        <v>232</v>
      </c>
      <c r="H151" s="2" t="str">
        <f>IF(G151="","",IF(G151="EKSPLORASI","EXP-"&amp;TEXT(COUNTIF($G$3:G151,G151),"000"),IF(G151="HSE","HSE-"&amp;TEXT(COUNTIF($G$3:G151,G151),"000"),IF(G151="QAQC","QAQC-"&amp;TEXT(COUNTIF($G$3:G151,G151),"000"),IF(G151="HCGA","HCGA-"&amp;TEXT(COUNTIF($G$3:G151,G151),"000"),IF(G151="MAINTENANCE","MNT-"&amp;TEXT(COUNTIF($G$3:G151,G151),"000"),IF(G151="CIVIL","CIV-"&amp;TEXT(COUNTIF($G$3:G151,G151),"000"),IF(G151="GANIS","GAN-"&amp;TEXT(COUNTIF($G$3:G151,G151),"000"),IF(G151="ENGINEERING","ENG-"&amp;TEXT(COUNTIF($G$3:G151,G151),"000"),IF(G151="PRODUKSI","PRO-"&amp;TEXT(COUNTIF($G$3:G151,G151),"000"),IF(G151="SURVEY","SUR-"&amp;TEXT(COUNTIF($G$3:G151,G151),"000"),"")))))))))))</f>
        <v>QAQC-041</v>
      </c>
      <c r="I151" s="2"/>
      <c r="J151" s="2"/>
    </row>
    <row r="152" spans="2:11" ht="15.5">
      <c r="B152" s="4" t="s">
        <v>322</v>
      </c>
      <c r="C152" s="11" t="s">
        <v>316</v>
      </c>
      <c r="D152" s="48"/>
      <c r="E152" s="40" t="s">
        <v>235</v>
      </c>
      <c r="F152" s="42"/>
      <c r="G152" s="12" t="s">
        <v>232</v>
      </c>
      <c r="H152" s="2" t="str">
        <f>IF(G152="","",IF(G152="EKSPLORASI","EXP-"&amp;TEXT(COUNTIF($G$3:G152,G152),"000"),IF(G152="HSE","HSE-"&amp;TEXT(COUNTIF($G$3:G152,G152),"000"),IF(G152="QAQC","QAQC-"&amp;TEXT(COUNTIF($G$3:G152,G152),"000"),IF(G152="HCGA","HCGA-"&amp;TEXT(COUNTIF($G$3:G152,G152),"000"),IF(G152="MAINTENANCE","MNT-"&amp;TEXT(COUNTIF($G$3:G152,G152),"000"),IF(G152="CIVIL","CIV-"&amp;TEXT(COUNTIF($G$3:G152,G152),"000"),IF(G152="GANIS","GAN-"&amp;TEXT(COUNTIF($G$3:G152,G152),"000"),IF(G152="ENGINEERING","ENG-"&amp;TEXT(COUNTIF($G$3:G152,G152),"000"),IF(G152="PRODUKSI","PRO-"&amp;TEXT(COUNTIF($G$3:G152,G152),"000"),IF(G152="SURVEY","SUR-"&amp;TEXT(COUNTIF($G$3:G152,G152),"000"),"")))))))))))</f>
        <v>QAQC-042</v>
      </c>
      <c r="I152" s="2"/>
      <c r="J152" s="2"/>
    </row>
    <row r="153" spans="2:11" ht="15.5">
      <c r="B153" s="4" t="s">
        <v>324</v>
      </c>
      <c r="C153" s="11" t="s">
        <v>318</v>
      </c>
      <c r="D153" s="48">
        <v>1000</v>
      </c>
      <c r="E153" s="40" t="s">
        <v>14</v>
      </c>
      <c r="F153" s="42"/>
      <c r="G153" s="12" t="s">
        <v>232</v>
      </c>
      <c r="H153" s="2" t="str">
        <f>IF(G153="","",IF(G153="EKSPLORASI","EXP-"&amp;TEXT(COUNTIF($G$3:G153,G153),"000"),IF(G153="HSE","HSE-"&amp;TEXT(COUNTIF($G$3:G153,G153),"000"),IF(G153="QAQC","QAQC-"&amp;TEXT(COUNTIF($G$3:G153,G153),"000"),IF(G153="HCGA","HCGA-"&amp;TEXT(COUNTIF($G$3:G153,G153),"000"),IF(G153="MAINTENANCE","MNT-"&amp;TEXT(COUNTIF($G$3:G153,G153),"000"),IF(G153="CIVIL","CIV-"&amp;TEXT(COUNTIF($G$3:G153,G153),"000"),IF(G153="GANIS","GAN-"&amp;TEXT(COUNTIF($G$3:G153,G153),"000"),IF(G153="ENGINEERING","ENG-"&amp;TEXT(COUNTIF($G$3:G153,G153),"000"),IF(G153="PRODUKSI","PRO-"&amp;TEXT(COUNTIF($G$3:G153,G153),"000"),IF(G153="SURVEY","SUR-"&amp;TEXT(COUNTIF($G$3:G153,G153),"000"),"")))))))))))</f>
        <v>QAQC-043</v>
      </c>
      <c r="I153" s="2"/>
      <c r="J153" s="2"/>
    </row>
    <row r="154" spans="2:11" ht="15.5">
      <c r="B154" s="4" t="s">
        <v>326</v>
      </c>
      <c r="C154" s="11" t="s">
        <v>320</v>
      </c>
      <c r="D154" s="48"/>
      <c r="E154" s="40" t="s">
        <v>132</v>
      </c>
      <c r="F154" s="42"/>
      <c r="G154" s="12" t="s">
        <v>232</v>
      </c>
      <c r="H154" s="2" t="str">
        <f>IF(G154="","",IF(G154="EKSPLORASI","EXP-"&amp;TEXT(COUNTIF($G$3:G154,G154),"000"),IF(G154="HSE","HSE-"&amp;TEXT(COUNTIF($G$3:G154,G154),"000"),IF(G154="QAQC","QAQC-"&amp;TEXT(COUNTIF($G$3:G154,G154),"000"),IF(G154="HCGA","HCGA-"&amp;TEXT(COUNTIF($G$3:G154,G154),"000"),IF(G154="MAINTENANCE","MNT-"&amp;TEXT(COUNTIF($G$3:G154,G154),"000"),IF(G154="CIVIL","CIV-"&amp;TEXT(COUNTIF($G$3:G154,G154),"000"),IF(G154="GANIS","GAN-"&amp;TEXT(COUNTIF($G$3:G154,G154),"000"),IF(G154="ENGINEERING","ENG-"&amp;TEXT(COUNTIF($G$3:G154,G154),"000"),IF(G154="PRODUKSI","PRO-"&amp;TEXT(COUNTIF($G$3:G154,G154),"000"),IF(G154="SURVEY","SUR-"&amp;TEXT(COUNTIF($G$3:G154,G154),"000"),"")))))))))))</f>
        <v>QAQC-044</v>
      </c>
      <c r="I154" s="2"/>
      <c r="J154" s="2"/>
    </row>
    <row r="155" spans="2:11" ht="15.5">
      <c r="B155" s="4" t="s">
        <v>328</v>
      </c>
      <c r="C155" s="11" t="s">
        <v>129</v>
      </c>
      <c r="D155" s="48"/>
      <c r="E155" s="40" t="s">
        <v>14</v>
      </c>
      <c r="F155" s="42"/>
      <c r="G155" s="12" t="s">
        <v>232</v>
      </c>
      <c r="H155" s="2" t="str">
        <f>IF(G155="","",IF(G155="EKSPLORASI","EXP-"&amp;TEXT(COUNTIF($G$3:G155,G155),"000"),IF(G155="HSE","HSE-"&amp;TEXT(COUNTIF($G$3:G155,G155),"000"),IF(G155="QAQC","QAQC-"&amp;TEXT(COUNTIF($G$3:G155,G155),"000"),IF(G155="HCGA","HCGA-"&amp;TEXT(COUNTIF($G$3:G155,G155),"000"),IF(G155="MAINTENANCE","MNT-"&amp;TEXT(COUNTIF($G$3:G155,G155),"000"),IF(G155="CIVIL","CIV-"&amp;TEXT(COUNTIF($G$3:G155,G155),"000"),IF(G155="GANIS","GAN-"&amp;TEXT(COUNTIF($G$3:G155,G155),"000"),IF(G155="ENGINEERING","ENG-"&amp;TEXT(COUNTIF($G$3:G155,G155),"000"),IF(G155="PRODUKSI","PRO-"&amp;TEXT(COUNTIF($G$3:G155,G155),"000"),IF(G155="SURVEY","SUR-"&amp;TEXT(COUNTIF($G$3:G155,G155),"000"),"")))))))))))</f>
        <v>QAQC-045</v>
      </c>
      <c r="I155" s="2"/>
      <c r="J155" s="2"/>
    </row>
    <row r="156" spans="2:11" ht="15.5">
      <c r="B156" s="4" t="s">
        <v>330</v>
      </c>
      <c r="C156" s="11" t="s">
        <v>323</v>
      </c>
      <c r="D156" s="48">
        <v>15000</v>
      </c>
      <c r="E156" s="40" t="s">
        <v>14</v>
      </c>
      <c r="F156" s="39" t="s">
        <v>1085</v>
      </c>
      <c r="G156" s="12" t="s">
        <v>232</v>
      </c>
      <c r="H156" s="2" t="str">
        <f>IF(G156="","",IF(G156="EKSPLORASI","EXP-"&amp;TEXT(COUNTIF($G$3:G156,G156),"000"),IF(G156="HSE","HSE-"&amp;TEXT(COUNTIF($G$3:G156,G156),"000"),IF(G156="QAQC","QAQC-"&amp;TEXT(COUNTIF($G$3:G156,G156),"000"),IF(G156="HCGA","HCGA-"&amp;TEXT(COUNTIF($G$3:G156,G156),"000"),IF(G156="MAINTENANCE","MNT-"&amp;TEXT(COUNTIF($G$3:G156,G156),"000"),IF(G156="CIVIL","CIV-"&amp;TEXT(COUNTIF($G$3:G156,G156),"000"),IF(G156="GANIS","GAN-"&amp;TEXT(COUNTIF($G$3:G156,G156),"000"),IF(G156="ENGINEERING","ENG-"&amp;TEXT(COUNTIF($G$3:G156,G156),"000"),IF(G156="PRODUKSI","PRO-"&amp;TEXT(COUNTIF($G$3:G156,G156),"000"),IF(G156="SURVEY","SUR-"&amp;TEXT(COUNTIF($G$3:G156,G156),"000"),"")))))))))))</f>
        <v>QAQC-046</v>
      </c>
      <c r="I156" s="2"/>
      <c r="J156" s="2"/>
      <c r="K156" s="3"/>
    </row>
    <row r="157" spans="2:11" ht="15.5">
      <c r="B157" s="4" t="s">
        <v>332</v>
      </c>
      <c r="C157" s="11" t="s">
        <v>325</v>
      </c>
      <c r="D157" s="48"/>
      <c r="E157" s="40" t="s">
        <v>14</v>
      </c>
      <c r="F157" s="42"/>
      <c r="G157" s="12" t="s">
        <v>232</v>
      </c>
      <c r="H157" s="2" t="str">
        <f>IF(G157="","",IF(G157="EKSPLORASI","EXP-"&amp;TEXT(COUNTIF($G$3:G157,G157),"000"),IF(G157="HSE","HSE-"&amp;TEXT(COUNTIF($G$3:G157,G157),"000"),IF(G157="QAQC","QAQC-"&amp;TEXT(COUNTIF($G$3:G157,G157),"000"),IF(G157="HCGA","HCGA-"&amp;TEXT(COUNTIF($G$3:G157,G157),"000"),IF(G157="MAINTENANCE","MNT-"&amp;TEXT(COUNTIF($G$3:G157,G157),"000"),IF(G157="CIVIL","CIV-"&amp;TEXT(COUNTIF($G$3:G157,G157),"000"),IF(G157="GANIS","GAN-"&amp;TEXT(COUNTIF($G$3:G157,G157),"000"),IF(G157="ENGINEERING","ENG-"&amp;TEXT(COUNTIF($G$3:G157,G157),"000"),IF(G157="PRODUKSI","PRO-"&amp;TEXT(COUNTIF($G$3:G157,G157),"000"),IF(G157="SURVEY","SUR-"&amp;TEXT(COUNTIF($G$3:G157,G157),"000"),"")))))))))))</f>
        <v>QAQC-047</v>
      </c>
      <c r="I157" s="2"/>
      <c r="J157" s="2"/>
      <c r="K157" s="3"/>
    </row>
    <row r="158" spans="2:11" ht="15.5">
      <c r="B158" s="4" t="s">
        <v>334</v>
      </c>
      <c r="C158" s="11" t="s">
        <v>327</v>
      </c>
      <c r="D158" s="48"/>
      <c r="E158" s="40" t="s">
        <v>14</v>
      </c>
      <c r="F158" s="42"/>
      <c r="G158" s="12" t="s">
        <v>232</v>
      </c>
      <c r="H158" s="2" t="str">
        <f>IF(G158="","",IF(G158="EKSPLORASI","EXP-"&amp;TEXT(COUNTIF($G$3:G158,G158),"000"),IF(G158="HSE","HSE-"&amp;TEXT(COUNTIF($G$3:G158,G158),"000"),IF(G158="QAQC","QAQC-"&amp;TEXT(COUNTIF($G$3:G158,G158),"000"),IF(G158="HCGA","HCGA-"&amp;TEXT(COUNTIF($G$3:G158,G158),"000"),IF(G158="MAINTENANCE","MNT-"&amp;TEXT(COUNTIF($G$3:G158,G158),"000"),IF(G158="CIVIL","CIV-"&amp;TEXT(COUNTIF($G$3:G158,G158),"000"),IF(G158="GANIS","GAN-"&amp;TEXT(COUNTIF($G$3:G158,G158),"000"),IF(G158="ENGINEERING","ENG-"&amp;TEXT(COUNTIF($G$3:G158,G158),"000"),IF(G158="PRODUKSI","PRO-"&amp;TEXT(COUNTIF($G$3:G158,G158),"000"),IF(G158="SURVEY","SUR-"&amp;TEXT(COUNTIF($G$3:G158,G158),"000"),"")))))))))))</f>
        <v>QAQC-048</v>
      </c>
      <c r="I158" s="2"/>
      <c r="J158" s="2"/>
    </row>
    <row r="159" spans="2:11" ht="15.5">
      <c r="B159" s="4" t="s">
        <v>336</v>
      </c>
      <c r="C159" s="11" t="s">
        <v>329</v>
      </c>
      <c r="D159" s="48">
        <v>5000</v>
      </c>
      <c r="E159" s="40" t="s">
        <v>14</v>
      </c>
      <c r="F159" s="42"/>
      <c r="G159" s="12" t="s">
        <v>232</v>
      </c>
      <c r="H159" s="2" t="str">
        <f>IF(G159="","",IF(G159="EKSPLORASI","EXP-"&amp;TEXT(COUNTIF($G$3:G159,G159),"000"),IF(G159="HSE","HSE-"&amp;TEXT(COUNTIF($G$3:G159,G159),"000"),IF(G159="QAQC","QAQC-"&amp;TEXT(COUNTIF($G$3:G159,G159),"000"),IF(G159="HCGA","HCGA-"&amp;TEXT(COUNTIF($G$3:G159,G159),"000"),IF(G159="MAINTENANCE","MNT-"&amp;TEXT(COUNTIF($G$3:G159,G159),"000"),IF(G159="CIVIL","CIV-"&amp;TEXT(COUNTIF($G$3:G159,G159),"000"),IF(G159="GANIS","GAN-"&amp;TEXT(COUNTIF($G$3:G159,G159),"000"),IF(G159="ENGINEERING","ENG-"&amp;TEXT(COUNTIF($G$3:G159,G159),"000"),IF(G159="PRODUKSI","PRO-"&amp;TEXT(COUNTIF($G$3:G159,G159),"000"),IF(G159="SURVEY","SUR-"&amp;TEXT(COUNTIF($G$3:G159,G159),"000"),"")))))))))))</f>
        <v>QAQC-049</v>
      </c>
      <c r="I159" s="2"/>
      <c r="J159" s="2"/>
    </row>
    <row r="160" spans="2:11" ht="15.5">
      <c r="B160" s="4" t="s">
        <v>338</v>
      </c>
      <c r="C160" s="11" t="s">
        <v>331</v>
      </c>
      <c r="D160" s="48">
        <v>50000</v>
      </c>
      <c r="E160" s="40" t="s">
        <v>14</v>
      </c>
      <c r="F160" s="42"/>
      <c r="G160" s="12" t="s">
        <v>232</v>
      </c>
      <c r="H160" s="2" t="str">
        <f>IF(G160="","",IF(G160="EKSPLORASI","EXP-"&amp;TEXT(COUNTIF($G$3:G160,G160),"000"),IF(G160="HSE","HSE-"&amp;TEXT(COUNTIF($G$3:G160,G160),"000"),IF(G160="QAQC","QAQC-"&amp;TEXT(COUNTIF($G$3:G160,G160),"000"),IF(G160="HCGA","HCGA-"&amp;TEXT(COUNTIF($G$3:G160,G160),"000"),IF(G160="MAINTENANCE","MNT-"&amp;TEXT(COUNTIF($G$3:G160,G160),"000"),IF(G160="CIVIL","CIV-"&amp;TEXT(COUNTIF($G$3:G160,G160),"000"),IF(G160="GANIS","GAN-"&amp;TEXT(COUNTIF($G$3:G160,G160),"000"),IF(G160="ENGINEERING","ENG-"&amp;TEXT(COUNTIF($G$3:G160,G160),"000"),IF(G160="PRODUKSI","PRO-"&amp;TEXT(COUNTIF($G$3:G160,G160),"000"),IF(G160="SURVEY","SUR-"&amp;TEXT(COUNTIF($G$3:G160,G160),"000"),"")))))))))))</f>
        <v>QAQC-050</v>
      </c>
      <c r="I160" s="2"/>
      <c r="J160" s="2"/>
    </row>
    <row r="161" spans="2:10" ht="15.5">
      <c r="B161" s="4" t="s">
        <v>340</v>
      </c>
      <c r="C161" s="11" t="s">
        <v>333</v>
      </c>
      <c r="D161" s="48"/>
      <c r="E161" s="40" t="s">
        <v>25</v>
      </c>
      <c r="F161" s="42"/>
      <c r="G161" s="12" t="s">
        <v>232</v>
      </c>
      <c r="H161" s="2" t="str">
        <f>IF(G161="","",IF(G161="EKSPLORASI","EXP-"&amp;TEXT(COUNTIF($G$3:G161,G161),"000"),IF(G161="HSE","HSE-"&amp;TEXT(COUNTIF($G$3:G161,G161),"000"),IF(G161="QAQC","QAQC-"&amp;TEXT(COUNTIF($G$3:G161,G161),"000"),IF(G161="HCGA","HCGA-"&amp;TEXT(COUNTIF($G$3:G161,G161),"000"),IF(G161="MAINTENANCE","MNT-"&amp;TEXT(COUNTIF($G$3:G161,G161),"000"),IF(G161="CIVIL","CIV-"&amp;TEXT(COUNTIF($G$3:G161,G161),"000"),IF(G161="GANIS","GAN-"&amp;TEXT(COUNTIF($G$3:G161,G161),"000"),IF(G161="ENGINEERING","ENG-"&amp;TEXT(COUNTIF($G$3:G161,G161),"000"),IF(G161="PRODUKSI","PRO-"&amp;TEXT(COUNTIF($G$3:G161,G161),"000"),IF(G161="SURVEY","SUR-"&amp;TEXT(COUNTIF($G$3:G161,G161),"000"),"")))))))))))</f>
        <v>QAQC-051</v>
      </c>
      <c r="I161" s="2"/>
      <c r="J161" s="2"/>
    </row>
    <row r="162" spans="2:10" ht="15.5">
      <c r="B162" s="4" t="s">
        <v>342</v>
      </c>
      <c r="C162" s="11" t="s">
        <v>335</v>
      </c>
      <c r="D162" s="48"/>
      <c r="E162" s="40" t="s">
        <v>132</v>
      </c>
      <c r="F162" s="42"/>
      <c r="G162" s="12" t="s">
        <v>232</v>
      </c>
      <c r="H162" s="2" t="str">
        <f>IF(G162="","",IF(G162="EKSPLORASI","EXP-"&amp;TEXT(COUNTIF($G$3:G162,G162),"000"),IF(G162="HSE","HSE-"&amp;TEXT(COUNTIF($G$3:G162,G162),"000"),IF(G162="QAQC","QAQC-"&amp;TEXT(COUNTIF($G$3:G162,G162),"000"),IF(G162="HCGA","HCGA-"&amp;TEXT(COUNTIF($G$3:G162,G162),"000"),IF(G162="MAINTENANCE","MNT-"&amp;TEXT(COUNTIF($G$3:G162,G162),"000"),IF(G162="CIVIL","CIV-"&amp;TEXT(COUNTIF($G$3:G162,G162),"000"),IF(G162="GANIS","GAN-"&amp;TEXT(COUNTIF($G$3:G162,G162),"000"),IF(G162="ENGINEERING","ENG-"&amp;TEXT(COUNTIF($G$3:G162,G162),"000"),IF(G162="PRODUKSI","PRO-"&amp;TEXT(COUNTIF($G$3:G162,G162),"000"),IF(G162="SURVEY","SUR-"&amp;TEXT(COUNTIF($G$3:G162,G162),"000"),"")))))))))))</f>
        <v>QAQC-052</v>
      </c>
      <c r="I162" s="2"/>
      <c r="J162" s="2"/>
    </row>
    <row r="163" spans="2:10" ht="15.5">
      <c r="B163" s="4" t="s">
        <v>344</v>
      </c>
      <c r="C163" s="11" t="s">
        <v>337</v>
      </c>
      <c r="D163" s="48">
        <v>30000</v>
      </c>
      <c r="E163" s="40" t="s">
        <v>74</v>
      </c>
      <c r="F163" s="34" t="s">
        <v>1089</v>
      </c>
      <c r="G163" s="12" t="s">
        <v>232</v>
      </c>
      <c r="H163" s="2" t="str">
        <f>IF(G163="","",IF(G163="EKSPLORASI","EXP-"&amp;TEXT(COUNTIF($G$3:G163,G163),"000"),IF(G163="HSE","HSE-"&amp;TEXT(COUNTIF($G$3:G163,G163),"000"),IF(G163="QAQC","QAQC-"&amp;TEXT(COUNTIF($G$3:G163,G163),"000"),IF(G163="HCGA","HCGA-"&amp;TEXT(COUNTIF($G$3:G163,G163),"000"),IF(G163="MAINTENANCE","MNT-"&amp;TEXT(COUNTIF($G$3:G163,G163),"000"),IF(G163="CIVIL","CIV-"&amp;TEXT(COUNTIF($G$3:G163,G163),"000"),IF(G163="GANIS","GAN-"&amp;TEXT(COUNTIF($G$3:G163,G163),"000"),IF(G163="ENGINEERING","ENG-"&amp;TEXT(COUNTIF($G$3:G163,G163),"000"),IF(G163="PRODUKSI","PRO-"&amp;TEXT(COUNTIF($G$3:G163,G163),"000"),IF(G163="SURVEY","SUR-"&amp;TEXT(COUNTIF($G$3:G163,G163),"000"),"")))))))))))</f>
        <v>QAQC-053</v>
      </c>
      <c r="I163" s="2"/>
      <c r="J163" s="2"/>
    </row>
    <row r="164" spans="2:10" ht="15.5">
      <c r="B164" s="4" t="s">
        <v>346</v>
      </c>
      <c r="C164" s="11" t="s">
        <v>339</v>
      </c>
      <c r="D164" s="48"/>
      <c r="E164" s="40" t="s">
        <v>14</v>
      </c>
      <c r="F164" s="42"/>
      <c r="G164" s="12" t="s">
        <v>232</v>
      </c>
      <c r="H164" s="2" t="str">
        <f>IF(G164="","",IF(G164="EKSPLORASI","EXP-"&amp;TEXT(COUNTIF($G$3:G164,G164),"000"),IF(G164="HSE","HSE-"&amp;TEXT(COUNTIF($G$3:G164,G164),"000"),IF(G164="QAQC","QAQC-"&amp;TEXT(COUNTIF($G$3:G164,G164),"000"),IF(G164="HCGA","HCGA-"&amp;TEXT(COUNTIF($G$3:G164,G164),"000"),IF(G164="MAINTENANCE","MNT-"&amp;TEXT(COUNTIF($G$3:G164,G164),"000"),IF(G164="CIVIL","CIV-"&amp;TEXT(COUNTIF($G$3:G164,G164),"000"),IF(G164="GANIS","GAN-"&amp;TEXT(COUNTIF($G$3:G164,G164),"000"),IF(G164="ENGINEERING","ENG-"&amp;TEXT(COUNTIF($G$3:G164,G164),"000"),IF(G164="PRODUKSI","PRO-"&amp;TEXT(COUNTIF($G$3:G164,G164),"000"),IF(G164="SURVEY","SUR-"&amp;TEXT(COUNTIF($G$3:G164,G164),"000"),"")))))))))))</f>
        <v>QAQC-054</v>
      </c>
      <c r="I164" s="2"/>
      <c r="J164" s="2"/>
    </row>
    <row r="165" spans="2:10" ht="15.5">
      <c r="B165" s="4" t="s">
        <v>347</v>
      </c>
      <c r="C165" s="17" t="s">
        <v>341</v>
      </c>
      <c r="D165" s="48">
        <v>30000</v>
      </c>
      <c r="E165" s="40" t="s">
        <v>14</v>
      </c>
      <c r="F165" s="42"/>
      <c r="G165" s="12" t="s">
        <v>232</v>
      </c>
      <c r="H165" s="2" t="str">
        <f>IF(G165="","",IF(G165="EKSPLORASI","EXP-"&amp;TEXT(COUNTIF($G$3:G165,G165),"000"),IF(G165="HSE","HSE-"&amp;TEXT(COUNTIF($G$3:G165,G165),"000"),IF(G165="QAQC","QAQC-"&amp;TEXT(COUNTIF($G$3:G165,G165),"000"),IF(G165="HCGA","HCGA-"&amp;TEXT(COUNTIF($G$3:G165,G165),"000"),IF(G165="MAINTENANCE","MNT-"&amp;TEXT(COUNTIF($G$3:G165,G165),"000"),IF(G165="CIVIL","CIV-"&amp;TEXT(COUNTIF($G$3:G165,G165),"000"),IF(G165="GANIS","GAN-"&amp;TEXT(COUNTIF($G$3:G165,G165),"000"),IF(G165="ENGINEERING","ENG-"&amp;TEXT(COUNTIF($G$3:G165,G165),"000"),IF(G165="PRODUKSI","PRO-"&amp;TEXT(COUNTIF($G$3:G165,G165),"000"),IF(G165="SURVEY","SUR-"&amp;TEXT(COUNTIF($G$3:G165,G165),"000"),"")))))))))))</f>
        <v>QAQC-055</v>
      </c>
      <c r="I165" s="3"/>
      <c r="J165" s="3"/>
    </row>
    <row r="166" spans="2:10" ht="15.5">
      <c r="B166" s="4" t="s">
        <v>349</v>
      </c>
      <c r="C166" s="17" t="s">
        <v>343</v>
      </c>
      <c r="D166" s="46">
        <v>100000</v>
      </c>
      <c r="E166" s="40" t="s">
        <v>34</v>
      </c>
      <c r="F166" s="32"/>
      <c r="G166" s="12" t="s">
        <v>232</v>
      </c>
      <c r="H166" s="2" t="str">
        <f>IF(G166="","",IF(G166="EKSPLORASI","EXP-"&amp;TEXT(COUNTIF($G$3:G166,G166),"000"),IF(G166="HSE","HSE-"&amp;TEXT(COUNTIF($G$3:G166,G166),"000"),IF(G166="QAQC","QAQC-"&amp;TEXT(COUNTIF($G$3:G166,G166),"000"),IF(G166="HCGA","HCGA-"&amp;TEXT(COUNTIF($G$3:G166,G166),"000"),IF(G166="MAINTENANCE","MNT-"&amp;TEXT(COUNTIF($G$3:G166,G166),"000"),IF(G166="CIVIL","CIV-"&amp;TEXT(COUNTIF($G$3:G166,G166),"000"),IF(G166="GANIS","GAN-"&amp;TEXT(COUNTIF($G$3:G166,G166),"000"),IF(G166="ENGINEERING","ENG-"&amp;TEXT(COUNTIF($G$3:G166,G166),"000"),IF(G166="PRODUKSI","PRO-"&amp;TEXT(COUNTIF($G$3:G166,G166),"000"),IF(G166="SURVEY","SUR-"&amp;TEXT(COUNTIF($G$3:G166,G166),"000"),"")))))))))))</f>
        <v>QAQC-056</v>
      </c>
      <c r="I166" s="3"/>
      <c r="J166" s="3"/>
    </row>
    <row r="167" spans="2:10" ht="15.5">
      <c r="B167" s="4" t="s">
        <v>350</v>
      </c>
      <c r="C167" s="17" t="s">
        <v>345</v>
      </c>
      <c r="D167" s="46"/>
      <c r="E167" s="40" t="s">
        <v>34</v>
      </c>
      <c r="F167" s="32"/>
      <c r="G167" s="12" t="s">
        <v>232</v>
      </c>
      <c r="H167" s="2" t="str">
        <f>IF(G167="","",IF(G167="EKSPLORASI","EXP-"&amp;TEXT(COUNTIF($G$3:G167,G167),"000"),IF(G167="HSE","HSE-"&amp;TEXT(COUNTIF($G$3:G167,G167),"000"),IF(G167="QAQC","QAQC-"&amp;TEXT(COUNTIF($G$3:G167,G167),"000"),IF(G167="HCGA","HCGA-"&amp;TEXT(COUNTIF($G$3:G167,G167),"000"),IF(G167="MAINTENANCE","MNT-"&amp;TEXT(COUNTIF($G$3:G167,G167),"000"),IF(G167="CIVIL","CIV-"&amp;TEXT(COUNTIF($G$3:G167,G167),"000"),IF(G167="GANIS","GAN-"&amp;TEXT(COUNTIF($G$3:G167,G167),"000"),IF(G167="ENGINEERING","ENG-"&amp;TEXT(COUNTIF($G$3:G167,G167),"000"),IF(G167="PRODUKSI","PRO-"&amp;TEXT(COUNTIF($G$3:G167,G167),"000"),IF(G167="SURVEY","SUR-"&amp;TEXT(COUNTIF($G$3:G167,G167),"000"),"")))))))))))</f>
        <v>QAQC-057</v>
      </c>
      <c r="I167" s="3"/>
      <c r="J167" s="3"/>
    </row>
    <row r="168" spans="2:10" ht="15.5">
      <c r="B168" s="4" t="s">
        <v>352</v>
      </c>
      <c r="C168" s="17" t="s">
        <v>203</v>
      </c>
      <c r="D168" s="46"/>
      <c r="E168" s="40" t="s">
        <v>132</v>
      </c>
      <c r="F168" s="32"/>
      <c r="G168" s="12" t="s">
        <v>232</v>
      </c>
      <c r="H168" s="2" t="str">
        <f>IF(G168="","",IF(G168="EKSPLORASI","EXP-"&amp;TEXT(COUNTIF($G$3:G168,G168),"000"),IF(G168="HSE","HSE-"&amp;TEXT(COUNTIF($G$3:G168,G168),"000"),IF(G168="QAQC","QAQC-"&amp;TEXT(COUNTIF($G$3:G168,G168),"000"),IF(G168="HCGA","HCGA-"&amp;TEXT(COUNTIF($G$3:G168,G168),"000"),IF(G168="MAINTENANCE","MNT-"&amp;TEXT(COUNTIF($G$3:G168,G168),"000"),IF(G168="CIVIL","CIV-"&amp;TEXT(COUNTIF($G$3:G168,G168),"000"),IF(G168="GANIS","GAN-"&amp;TEXT(COUNTIF($G$3:G168,G168),"000"),IF(G168="ENGINEERING","ENG-"&amp;TEXT(COUNTIF($G$3:G168,G168),"000"),IF(G168="PRODUKSI","PRO-"&amp;TEXT(COUNTIF($G$3:G168,G168),"000"),IF(G168="SURVEY","SUR-"&amp;TEXT(COUNTIF($G$3:G168,G168),"000"),"")))))))))))</f>
        <v>QAQC-058</v>
      </c>
      <c r="I168" s="3"/>
      <c r="J168" s="3"/>
    </row>
    <row r="169" spans="2:10" ht="15.5">
      <c r="B169" s="4" t="s">
        <v>354</v>
      </c>
      <c r="C169" s="17" t="s">
        <v>348</v>
      </c>
      <c r="D169" s="46">
        <v>45000</v>
      </c>
      <c r="E169" s="40" t="s">
        <v>171</v>
      </c>
      <c r="F169" s="39" t="s">
        <v>1085</v>
      </c>
      <c r="G169" s="12" t="s">
        <v>232</v>
      </c>
      <c r="H169" s="2" t="str">
        <f>IF(G169="","",IF(G169="EKSPLORASI","EXP-"&amp;TEXT(COUNTIF($G$3:G169,G169),"000"),IF(G169="HSE","HSE-"&amp;TEXT(COUNTIF($G$3:G169,G169),"000"),IF(G169="QAQC","QAQC-"&amp;TEXT(COUNTIF($G$3:G169,G169),"000"),IF(G169="HCGA","HCGA-"&amp;TEXT(COUNTIF($G$3:G169,G169),"000"),IF(G169="MAINTENANCE","MNT-"&amp;TEXT(COUNTIF($G$3:G169,G169),"000"),IF(G169="CIVIL","CIV-"&amp;TEXT(COUNTIF($G$3:G169,G169),"000"),IF(G169="GANIS","GAN-"&amp;TEXT(COUNTIF($G$3:G169,G169),"000"),IF(G169="ENGINEERING","ENG-"&amp;TEXT(COUNTIF($G$3:G169,G169),"000"),IF(G169="PRODUKSI","PRO-"&amp;TEXT(COUNTIF($G$3:G169,G169),"000"),IF(G169="SURVEY","SUR-"&amp;TEXT(COUNTIF($G$3:G169,G169),"000"),"")))))))))))</f>
        <v>QAQC-059</v>
      </c>
      <c r="I169" s="3"/>
      <c r="J169" s="3"/>
    </row>
    <row r="170" spans="2:10" ht="15.5">
      <c r="B170" s="4" t="s">
        <v>356</v>
      </c>
      <c r="C170" s="17" t="s">
        <v>177</v>
      </c>
      <c r="D170" s="46"/>
      <c r="E170" s="40" t="s">
        <v>14</v>
      </c>
      <c r="F170" s="32"/>
      <c r="G170" s="12" t="s">
        <v>232</v>
      </c>
      <c r="H170" s="2" t="str">
        <f>IF(G170="","",IF(G170="EKSPLORASI","EXP-"&amp;TEXT(COUNTIF($G$3:G170,G170),"000"),IF(G170="HSE","HSE-"&amp;TEXT(COUNTIF($G$3:G170,G170),"000"),IF(G170="QAQC","QAQC-"&amp;TEXT(COUNTIF($G$3:G170,G170),"000"),IF(G170="HCGA","HCGA-"&amp;TEXT(COUNTIF($G$3:G170,G170),"000"),IF(G170="MAINTENANCE","MNT-"&amp;TEXT(COUNTIF($G$3:G170,G170),"000"),IF(G170="CIVIL","CIV-"&amp;TEXT(COUNTIF($G$3:G170,G170),"000"),IF(G170="GANIS","GAN-"&amp;TEXT(COUNTIF($G$3:G170,G170),"000"),IF(G170="ENGINEERING","ENG-"&amp;TEXT(COUNTIF($G$3:G170,G170),"000"),IF(G170="PRODUKSI","PRO-"&amp;TEXT(COUNTIF($G$3:G170,G170),"000"),IF(G170="SURVEY","SUR-"&amp;TEXT(COUNTIF($G$3:G170,G170),"000"),"")))))))))))</f>
        <v>QAQC-060</v>
      </c>
      <c r="I170" s="3"/>
      <c r="J170" s="3"/>
    </row>
    <row r="171" spans="2:10" ht="15.5">
      <c r="B171" s="4" t="s">
        <v>358</v>
      </c>
      <c r="C171" s="17" t="s">
        <v>351</v>
      </c>
      <c r="D171" s="46"/>
      <c r="E171" s="40" t="s">
        <v>14</v>
      </c>
      <c r="F171" s="32"/>
      <c r="G171" s="12" t="s">
        <v>232</v>
      </c>
      <c r="H171" s="2" t="str">
        <f>IF(G171="","",IF(G171="EKSPLORASI","EXP-"&amp;TEXT(COUNTIF($G$3:G171,G171),"000"),IF(G171="HSE","HSE-"&amp;TEXT(COUNTIF($G$3:G171,G171),"000"),IF(G171="QAQC","QAQC-"&amp;TEXT(COUNTIF($G$3:G171,G171),"000"),IF(G171="HCGA","HCGA-"&amp;TEXT(COUNTIF($G$3:G171,G171),"000"),IF(G171="MAINTENANCE","MNT-"&amp;TEXT(COUNTIF($G$3:G171,G171),"000"),IF(G171="CIVIL","CIV-"&amp;TEXT(COUNTIF($G$3:G171,G171),"000"),IF(G171="GANIS","GAN-"&amp;TEXT(COUNTIF($G$3:G171,G171),"000"),IF(G171="ENGINEERING","ENG-"&amp;TEXT(COUNTIF($G$3:G171,G171),"000"),IF(G171="PRODUKSI","PRO-"&amp;TEXT(COUNTIF($G$3:G171,G171),"000"),IF(G171="SURVEY","SUR-"&amp;TEXT(COUNTIF($G$3:G171,G171),"000"),"")))))))))))</f>
        <v>QAQC-061</v>
      </c>
      <c r="I171" s="3"/>
      <c r="J171" s="3"/>
    </row>
    <row r="172" spans="2:10" ht="15.5">
      <c r="B172" s="4" t="s">
        <v>359</v>
      </c>
      <c r="C172" s="17" t="s">
        <v>353</v>
      </c>
      <c r="D172" s="46">
        <v>50000</v>
      </c>
      <c r="E172" s="40" t="s">
        <v>14</v>
      </c>
      <c r="F172" s="34" t="s">
        <v>1085</v>
      </c>
      <c r="G172" s="12" t="s">
        <v>232</v>
      </c>
      <c r="H172" s="2" t="str">
        <f>IF(G172="","",IF(G172="EKSPLORASI","EXP-"&amp;TEXT(COUNTIF($G$3:G172,G172),"000"),IF(G172="HSE","HSE-"&amp;TEXT(COUNTIF($G$3:G172,G172),"000"),IF(G172="QAQC","QAQC-"&amp;TEXT(COUNTIF($G$3:G172,G172),"000"),IF(G172="HCGA","HCGA-"&amp;TEXT(COUNTIF($G$3:G172,G172),"000"),IF(G172="MAINTENANCE","MNT-"&amp;TEXT(COUNTIF($G$3:G172,G172),"000"),IF(G172="CIVIL","CIV-"&amp;TEXT(COUNTIF($G$3:G172,G172),"000"),IF(G172="GANIS","GAN-"&amp;TEXT(COUNTIF($G$3:G172,G172),"000"),IF(G172="ENGINEERING","ENG-"&amp;TEXT(COUNTIF($G$3:G172,G172),"000"),IF(G172="PRODUKSI","PRO-"&amp;TEXT(COUNTIF($G$3:G172,G172),"000"),IF(G172="SURVEY","SUR-"&amp;TEXT(COUNTIF($G$3:G172,G172),"000"),"")))))))))))</f>
        <v>QAQC-062</v>
      </c>
      <c r="I172" s="3"/>
      <c r="J172" s="3"/>
    </row>
    <row r="173" spans="2:10" ht="15.5">
      <c r="B173" s="4" t="s">
        <v>361</v>
      </c>
      <c r="C173" s="17" t="s">
        <v>355</v>
      </c>
      <c r="D173" s="46"/>
      <c r="E173" s="40" t="s">
        <v>132</v>
      </c>
      <c r="F173" s="32"/>
      <c r="G173" s="12" t="s">
        <v>232</v>
      </c>
      <c r="H173" s="2" t="str">
        <f>IF(G173="","",IF(G173="EKSPLORASI","EXP-"&amp;TEXT(COUNTIF($G$3:G173,G173),"000"),IF(G173="HSE","HSE-"&amp;TEXT(COUNTIF($G$3:G173,G173),"000"),IF(G173="QAQC","QAQC-"&amp;TEXT(COUNTIF($G$3:G173,G173),"000"),IF(G173="HCGA","HCGA-"&amp;TEXT(COUNTIF($G$3:G173,G173),"000"),IF(G173="MAINTENANCE","MNT-"&amp;TEXT(COUNTIF($G$3:G173,G173),"000"),IF(G173="CIVIL","CIV-"&amp;TEXT(COUNTIF($G$3:G173,G173),"000"),IF(G173="GANIS","GAN-"&amp;TEXT(COUNTIF($G$3:G173,G173),"000"),IF(G173="ENGINEERING","ENG-"&amp;TEXT(COUNTIF($G$3:G173,G173),"000"),IF(G173="PRODUKSI","PRO-"&amp;TEXT(COUNTIF($G$3:G173,G173),"000"),IF(G173="SURVEY","SUR-"&amp;TEXT(COUNTIF($G$3:G173,G173),"000"),"")))))))))))</f>
        <v>QAQC-063</v>
      </c>
      <c r="I173" s="3"/>
      <c r="J173" s="3"/>
    </row>
    <row r="174" spans="2:10" ht="15.5">
      <c r="B174" s="4" t="s">
        <v>363</v>
      </c>
      <c r="C174" s="17" t="s">
        <v>357</v>
      </c>
      <c r="D174" s="46"/>
      <c r="E174" s="40" t="s">
        <v>14</v>
      </c>
      <c r="F174" s="32"/>
      <c r="G174" s="12" t="s">
        <v>232</v>
      </c>
      <c r="H174" s="2" t="str">
        <f>IF(G174="","",IF(G174="EKSPLORASI","EXP-"&amp;TEXT(COUNTIF($G$3:G174,G174),"000"),IF(G174="HSE","HSE-"&amp;TEXT(COUNTIF($G$3:G174,G174),"000"),IF(G174="QAQC","QAQC-"&amp;TEXT(COUNTIF($G$3:G174,G174),"000"),IF(G174="HCGA","HCGA-"&amp;TEXT(COUNTIF($G$3:G174,G174),"000"),IF(G174="MAINTENANCE","MNT-"&amp;TEXT(COUNTIF($G$3:G174,G174),"000"),IF(G174="CIVIL","CIV-"&amp;TEXT(COUNTIF($G$3:G174,G174),"000"),IF(G174="GANIS","GAN-"&amp;TEXT(COUNTIF($G$3:G174,G174),"000"),IF(G174="ENGINEERING","ENG-"&amp;TEXT(COUNTIF($G$3:G174,G174),"000"),IF(G174="PRODUKSI","PRO-"&amp;TEXT(COUNTIF($G$3:G174,G174),"000"),IF(G174="SURVEY","SUR-"&amp;TEXT(COUNTIF($G$3:G174,G174),"000"),"")))))))))))</f>
        <v>QAQC-064</v>
      </c>
      <c r="I174" s="3"/>
      <c r="J174" s="3"/>
    </row>
    <row r="175" spans="2:10" ht="15.5">
      <c r="B175" s="4" t="s">
        <v>365</v>
      </c>
      <c r="C175" s="17" t="s">
        <v>22</v>
      </c>
      <c r="D175" s="46"/>
      <c r="E175" s="40" t="s">
        <v>171</v>
      </c>
      <c r="F175" s="32"/>
      <c r="G175" s="12" t="s">
        <v>232</v>
      </c>
      <c r="H175" s="2" t="str">
        <f>IF(G175="","",IF(G175="EKSPLORASI","EXP-"&amp;TEXT(COUNTIF($G$3:G175,G175),"000"),IF(G175="HSE","HSE-"&amp;TEXT(COUNTIF($G$3:G175,G175),"000"),IF(G175="QAQC","QAQC-"&amp;TEXT(COUNTIF($G$3:G175,G175),"000"),IF(G175="HCGA","HCGA-"&amp;TEXT(COUNTIF($G$3:G175,G175),"000"),IF(G175="MAINTENANCE","MNT-"&amp;TEXT(COUNTIF($G$3:G175,G175),"000"),IF(G175="CIVIL","CIV-"&amp;TEXT(COUNTIF($G$3:G175,G175),"000"),IF(G175="GANIS","GAN-"&amp;TEXT(COUNTIF($G$3:G175,G175),"000"),IF(G175="ENGINEERING","ENG-"&amp;TEXT(COUNTIF($G$3:G175,G175),"000"),IF(G175="PRODUKSI","PRO-"&amp;TEXT(COUNTIF($G$3:G175,G175),"000"),IF(G175="SURVEY","SUR-"&amp;TEXT(COUNTIF($G$3:G175,G175),"000"),"")))))))))))</f>
        <v>QAQC-065</v>
      </c>
      <c r="I175" s="3"/>
      <c r="J175" s="3"/>
    </row>
    <row r="176" spans="2:10" ht="15.5">
      <c r="B176" s="4" t="s">
        <v>367</v>
      </c>
      <c r="C176" s="17" t="s">
        <v>360</v>
      </c>
      <c r="D176" s="46"/>
      <c r="E176" s="40" t="s">
        <v>14</v>
      </c>
      <c r="F176" s="32"/>
      <c r="G176" s="12" t="s">
        <v>232</v>
      </c>
      <c r="H176" s="2" t="str">
        <f>IF(G176="","",IF(G176="EKSPLORASI","EXP-"&amp;TEXT(COUNTIF($G$3:G176,G176),"000"),IF(G176="HSE","HSE-"&amp;TEXT(COUNTIF($G$3:G176,G176),"000"),IF(G176="QAQC","QAQC-"&amp;TEXT(COUNTIF($G$3:G176,G176),"000"),IF(G176="HCGA","HCGA-"&amp;TEXT(COUNTIF($G$3:G176,G176),"000"),IF(G176="MAINTENANCE","MNT-"&amp;TEXT(COUNTIF($G$3:G176,G176),"000"),IF(G176="CIVIL","CIV-"&amp;TEXT(COUNTIF($G$3:G176,G176),"000"),IF(G176="GANIS","GAN-"&amp;TEXT(COUNTIF($G$3:G176,G176),"000"),IF(G176="ENGINEERING","ENG-"&amp;TEXT(COUNTIF($G$3:G176,G176),"000"),IF(G176="PRODUKSI","PRO-"&amp;TEXT(COUNTIF($G$3:G176,G176),"000"),IF(G176="SURVEY","SUR-"&amp;TEXT(COUNTIF($G$3:G176,G176),"000"),"")))))))))))</f>
        <v>QAQC-066</v>
      </c>
      <c r="I176" s="3"/>
      <c r="J176" s="3"/>
    </row>
    <row r="177" spans="2:10" ht="15.5">
      <c r="B177" s="4" t="s">
        <v>368</v>
      </c>
      <c r="C177" s="17" t="s">
        <v>362</v>
      </c>
      <c r="D177" s="46"/>
      <c r="E177" s="40" t="s">
        <v>14</v>
      </c>
      <c r="F177" s="32"/>
      <c r="G177" s="12" t="s">
        <v>232</v>
      </c>
      <c r="H177" s="2" t="str">
        <f>IF(G177="","",IF(G177="EKSPLORASI","EXP-"&amp;TEXT(COUNTIF($G$3:G177,G177),"000"),IF(G177="HSE","HSE-"&amp;TEXT(COUNTIF($G$3:G177,G177),"000"),IF(G177="QAQC","QAQC-"&amp;TEXT(COUNTIF($G$3:G177,G177),"000"),IF(G177="HCGA","HCGA-"&amp;TEXT(COUNTIF($G$3:G177,G177),"000"),IF(G177="MAINTENANCE","MNT-"&amp;TEXT(COUNTIF($G$3:G177,G177),"000"),IF(G177="CIVIL","CIV-"&amp;TEXT(COUNTIF($G$3:G177,G177),"000"),IF(G177="GANIS","GAN-"&amp;TEXT(COUNTIF($G$3:G177,G177),"000"),IF(G177="ENGINEERING","ENG-"&amp;TEXT(COUNTIF($G$3:G177,G177),"000"),IF(G177="PRODUKSI","PRO-"&amp;TEXT(COUNTIF($G$3:G177,G177),"000"),IF(G177="SURVEY","SUR-"&amp;TEXT(COUNTIF($G$3:G177,G177),"000"),"")))))))))))</f>
        <v>QAQC-067</v>
      </c>
      <c r="I177" s="3"/>
      <c r="J177" s="3"/>
    </row>
    <row r="178" spans="2:10" ht="15.5">
      <c r="B178" s="4" t="s">
        <v>370</v>
      </c>
      <c r="C178" s="17" t="s">
        <v>364</v>
      </c>
      <c r="D178" s="46"/>
      <c r="E178" s="40" t="s">
        <v>14</v>
      </c>
      <c r="F178" s="32"/>
      <c r="G178" s="12" t="s">
        <v>232</v>
      </c>
      <c r="H178" s="2" t="str">
        <f>IF(G178="","",IF(G178="EKSPLORASI","EXP-"&amp;TEXT(COUNTIF($G$3:G178,G178),"000"),IF(G178="HSE","HSE-"&amp;TEXT(COUNTIF($G$3:G178,G178),"000"),IF(G178="QAQC","QAQC-"&amp;TEXT(COUNTIF($G$3:G178,G178),"000"),IF(G178="HCGA","HCGA-"&amp;TEXT(COUNTIF($G$3:G178,G178),"000"),IF(G178="MAINTENANCE","MNT-"&amp;TEXT(COUNTIF($G$3:G178,G178),"000"),IF(G178="CIVIL","CIV-"&amp;TEXT(COUNTIF($G$3:G178,G178),"000"),IF(G178="GANIS","GAN-"&amp;TEXT(COUNTIF($G$3:G178,G178),"000"),IF(G178="ENGINEERING","ENG-"&amp;TEXT(COUNTIF($G$3:G178,G178),"000"),IF(G178="PRODUKSI","PRO-"&amp;TEXT(COUNTIF($G$3:G178,G178),"000"),IF(G178="SURVEY","SUR-"&amp;TEXT(COUNTIF($G$3:G178,G178),"000"),"")))))))))))</f>
        <v>QAQC-068</v>
      </c>
      <c r="I178" s="3"/>
      <c r="J178" s="3"/>
    </row>
    <row r="179" spans="2:10" ht="15.5">
      <c r="B179" s="4" t="s">
        <v>371</v>
      </c>
      <c r="C179" s="17" t="s">
        <v>366</v>
      </c>
      <c r="D179" s="46">
        <v>20000</v>
      </c>
      <c r="E179" s="40" t="s">
        <v>14</v>
      </c>
      <c r="F179" s="32"/>
      <c r="G179" s="12" t="s">
        <v>232</v>
      </c>
      <c r="H179" s="2" t="str">
        <f>IF(G179="","",IF(G179="EKSPLORASI","EXP-"&amp;TEXT(COUNTIF($G$3:G179,G179),"000"),IF(G179="HSE","HSE-"&amp;TEXT(COUNTIF($G$3:G179,G179),"000"),IF(G179="QAQC","QAQC-"&amp;TEXT(COUNTIF($G$3:G179,G179),"000"),IF(G179="HCGA","HCGA-"&amp;TEXT(COUNTIF($G$3:G179,G179),"000"),IF(G179="MAINTENANCE","MNT-"&amp;TEXT(COUNTIF($G$3:G179,G179),"000"),IF(G179="CIVIL","CIV-"&amp;TEXT(COUNTIF($G$3:G179,G179),"000"),IF(G179="GANIS","GAN-"&amp;TEXT(COUNTIF($G$3:G179,G179),"000"),IF(G179="ENGINEERING","ENG-"&amp;TEXT(COUNTIF($G$3:G179,G179),"000"),IF(G179="PRODUKSI","PRO-"&amp;TEXT(COUNTIF($G$3:G179,G179),"000"),IF(G179="SURVEY","SUR-"&amp;TEXT(COUNTIF($G$3:G179,G179),"000"),"")))))))))))</f>
        <v>QAQC-069</v>
      </c>
      <c r="I179" s="3"/>
      <c r="J179" s="3"/>
    </row>
    <row r="180" spans="2:10" ht="15.5">
      <c r="B180" s="4" t="s">
        <v>373</v>
      </c>
      <c r="C180" s="17" t="s">
        <v>50</v>
      </c>
      <c r="D180" s="46"/>
      <c r="E180" s="40" t="s">
        <v>14</v>
      </c>
      <c r="F180" s="32"/>
      <c r="G180" s="12" t="s">
        <v>232</v>
      </c>
      <c r="H180" s="2" t="str">
        <f>IF(G180="","",IF(G180="EKSPLORASI","EXP-"&amp;TEXT(COUNTIF($G$3:G180,G180),"000"),IF(G180="HSE","HSE-"&amp;TEXT(COUNTIF($G$3:G180,G180),"000"),IF(G180="QAQC","QAQC-"&amp;TEXT(COUNTIF($G$3:G180,G180),"000"),IF(G180="HCGA","HCGA-"&amp;TEXT(COUNTIF($G$3:G180,G180),"000"),IF(G180="MAINTENANCE","MNT-"&amp;TEXT(COUNTIF($G$3:G180,G180),"000"),IF(G180="CIVIL","CIV-"&amp;TEXT(COUNTIF($G$3:G180,G180),"000"),IF(G180="GANIS","GAN-"&amp;TEXT(COUNTIF($G$3:G180,G180),"000"),IF(G180="ENGINEERING","ENG-"&amp;TEXT(COUNTIF($G$3:G180,G180),"000"),IF(G180="PRODUKSI","PRO-"&amp;TEXT(COUNTIF($G$3:G180,G180),"000"),IF(G180="SURVEY","SUR-"&amp;TEXT(COUNTIF($G$3:G180,G180),"000"),"")))))))))))</f>
        <v>QAQC-070</v>
      </c>
      <c r="I180" s="3"/>
      <c r="J180" s="3"/>
    </row>
    <row r="181" spans="2:10" ht="15.5">
      <c r="B181" s="4" t="s">
        <v>375</v>
      </c>
      <c r="C181" s="17" t="s">
        <v>369</v>
      </c>
      <c r="D181" s="46">
        <v>250000</v>
      </c>
      <c r="E181" s="40" t="s">
        <v>34</v>
      </c>
      <c r="F181" s="34" t="s">
        <v>1085</v>
      </c>
      <c r="G181" s="12" t="s">
        <v>232</v>
      </c>
      <c r="H181" s="2" t="str">
        <f>IF(G181="","",IF(G181="EKSPLORASI","EXP-"&amp;TEXT(COUNTIF($G$3:G181,G181),"000"),IF(G181="HSE","HSE-"&amp;TEXT(COUNTIF($G$3:G181,G181),"000"),IF(G181="QAQC","QAQC-"&amp;TEXT(COUNTIF($G$3:G181,G181),"000"),IF(G181="HCGA","HCGA-"&amp;TEXT(COUNTIF($G$3:G181,G181),"000"),IF(G181="MAINTENANCE","MNT-"&amp;TEXT(COUNTIF($G$3:G181,G181),"000"),IF(G181="CIVIL","CIV-"&amp;TEXT(COUNTIF($G$3:G181,G181),"000"),IF(G181="GANIS","GAN-"&amp;TEXT(COUNTIF($G$3:G181,G181),"000"),IF(G181="ENGINEERING","ENG-"&amp;TEXT(COUNTIF($G$3:G181,G181),"000"),IF(G181="PRODUKSI","PRO-"&amp;TEXT(COUNTIF($G$3:G181,G181),"000"),IF(G181="SURVEY","SUR-"&amp;TEXT(COUNTIF($G$3:G181,G181),"000"),"")))))))))))</f>
        <v>QAQC-071</v>
      </c>
      <c r="I181" s="3"/>
      <c r="J181" s="3"/>
    </row>
    <row r="182" spans="2:10" ht="15.5">
      <c r="B182" s="4" t="s">
        <v>378</v>
      </c>
      <c r="C182" s="17" t="s">
        <v>33</v>
      </c>
      <c r="D182" s="46">
        <v>50000</v>
      </c>
      <c r="E182" s="40" t="s">
        <v>14</v>
      </c>
      <c r="F182" s="34" t="s">
        <v>1085</v>
      </c>
      <c r="G182" s="12" t="s">
        <v>232</v>
      </c>
      <c r="H182" s="2" t="str">
        <f>IF(G182="","",IF(G182="EKSPLORASI","EXP-"&amp;TEXT(COUNTIF($G$3:G182,G182),"000"),IF(G182="HSE","HSE-"&amp;TEXT(COUNTIF($G$3:G182,G182),"000"),IF(G182="QAQC","QAQC-"&amp;TEXT(COUNTIF($G$3:G182,G182),"000"),IF(G182="HCGA","HCGA-"&amp;TEXT(COUNTIF($G$3:G182,G182),"000"),IF(G182="MAINTENANCE","MNT-"&amp;TEXT(COUNTIF($G$3:G182,G182),"000"),IF(G182="CIVIL","CIV-"&amp;TEXT(COUNTIF($G$3:G182,G182),"000"),IF(G182="GANIS","GAN-"&amp;TEXT(COUNTIF($G$3:G182,G182),"000"),IF(G182="ENGINEERING","ENG-"&amp;TEXT(COUNTIF($G$3:G182,G182),"000"),IF(G182="PRODUKSI","PRO-"&amp;TEXT(COUNTIF($G$3:G182,G182),"000"),IF(G182="SURVEY","SUR-"&amp;TEXT(COUNTIF($G$3:G182,G182),"000"),"")))))))))))</f>
        <v>QAQC-072</v>
      </c>
      <c r="I182" s="3"/>
      <c r="J182" s="3"/>
    </row>
    <row r="183" spans="2:10" ht="15.5">
      <c r="B183" s="4" t="s">
        <v>380</v>
      </c>
      <c r="C183" s="17" t="s">
        <v>372</v>
      </c>
      <c r="D183" s="46"/>
      <c r="E183" s="40" t="s">
        <v>180</v>
      </c>
      <c r="F183" s="32"/>
      <c r="G183" s="12" t="s">
        <v>232</v>
      </c>
      <c r="H183" s="2" t="str">
        <f>IF(G183="","",IF(G183="EKSPLORASI","EXP-"&amp;TEXT(COUNTIF($G$3:G183,G183),"000"),IF(G183="HSE","HSE-"&amp;TEXT(COUNTIF($G$3:G183,G183),"000"),IF(G183="QAQC","QAQC-"&amp;TEXT(COUNTIF($G$3:G183,G183),"000"),IF(G183="HCGA","HCGA-"&amp;TEXT(COUNTIF($G$3:G183,G183),"000"),IF(G183="MAINTENANCE","MNT-"&amp;TEXT(COUNTIF($G$3:G183,G183),"000"),IF(G183="CIVIL","CIV-"&amp;TEXT(COUNTIF($G$3:G183,G183),"000"),IF(G183="GANIS","GAN-"&amp;TEXT(COUNTIF($G$3:G183,G183),"000"),IF(G183="ENGINEERING","ENG-"&amp;TEXT(COUNTIF($G$3:G183,G183),"000"),IF(G183="PRODUKSI","PRO-"&amp;TEXT(COUNTIF($G$3:G183,G183),"000"),IF(G183="SURVEY","SUR-"&amp;TEXT(COUNTIF($G$3:G183,G183),"000"),"")))))))))))</f>
        <v>QAQC-073</v>
      </c>
      <c r="I183" s="3"/>
      <c r="J183" s="3"/>
    </row>
    <row r="184" spans="2:10" ht="15.5">
      <c r="B184" s="4" t="s">
        <v>383</v>
      </c>
      <c r="C184" s="17" t="s">
        <v>374</v>
      </c>
      <c r="D184" s="46"/>
      <c r="E184" s="40" t="s">
        <v>14</v>
      </c>
      <c r="F184" s="32"/>
      <c r="G184" s="12" t="s">
        <v>232</v>
      </c>
      <c r="H184" s="2" t="str">
        <f>IF(G184="","",IF(G184="EKSPLORASI","EXP-"&amp;TEXT(COUNTIF($G$3:G184,G184),"000"),IF(G184="HSE","HSE-"&amp;TEXT(COUNTIF($G$3:G184,G184),"000"),IF(G184="QAQC","QAQC-"&amp;TEXT(COUNTIF($G$3:G184,G184),"000"),IF(G184="HCGA","HCGA-"&amp;TEXT(COUNTIF($G$3:G184,G184),"000"),IF(G184="MAINTENANCE","MNT-"&amp;TEXT(COUNTIF($G$3:G184,G184),"000"),IF(G184="CIVIL","CIV-"&amp;TEXT(COUNTIF($G$3:G184,G184),"000"),IF(G184="GANIS","GAN-"&amp;TEXT(COUNTIF($G$3:G184,G184),"000"),IF(G184="ENGINEERING","ENG-"&amp;TEXT(COUNTIF($G$3:G184,G184),"000"),IF(G184="PRODUKSI","PRO-"&amp;TEXT(COUNTIF($G$3:G184,G184),"000"),IF(G184="SURVEY","SUR-"&amp;TEXT(COUNTIF($G$3:G184,G184),"000"),"")))))))))))</f>
        <v>QAQC-074</v>
      </c>
      <c r="I184" s="3"/>
      <c r="J184" s="3"/>
    </row>
    <row r="185" spans="2:10" ht="15.5">
      <c r="B185" s="4" t="s">
        <v>385</v>
      </c>
      <c r="C185" s="17" t="s">
        <v>376</v>
      </c>
      <c r="D185" s="46"/>
      <c r="E185" s="40" t="s">
        <v>377</v>
      </c>
      <c r="F185" s="34" t="s">
        <v>1089</v>
      </c>
      <c r="G185" s="12" t="s">
        <v>232</v>
      </c>
      <c r="H185" s="2" t="str">
        <f>IF(G185="","",IF(G185="EKSPLORASI","EXP-"&amp;TEXT(COUNTIF($G$3:G185,G185),"000"),IF(G185="HSE","HSE-"&amp;TEXT(COUNTIF($G$3:G185,G185),"000"),IF(G185="QAQC","QAQC-"&amp;TEXT(COUNTIF($G$3:G185,G185),"000"),IF(G185="HCGA","HCGA-"&amp;TEXT(COUNTIF($G$3:G185,G185),"000"),IF(G185="MAINTENANCE","MNT-"&amp;TEXT(COUNTIF($G$3:G185,G185),"000"),IF(G185="CIVIL","CIV-"&amp;TEXT(COUNTIF($G$3:G185,G185),"000"),IF(G185="GANIS","GAN-"&amp;TEXT(COUNTIF($G$3:G185,G185),"000"),IF(G185="ENGINEERING","ENG-"&amp;TEXT(COUNTIF($G$3:G185,G185),"000"),IF(G185="PRODUKSI","PRO-"&amp;TEXT(COUNTIF($G$3:G185,G185),"000"),IF(G185="SURVEY","SUR-"&amp;TEXT(COUNTIF($G$3:G185,G185),"000"),"")))))))))))</f>
        <v>QAQC-075</v>
      </c>
      <c r="I185" s="3"/>
      <c r="J185" s="3"/>
    </row>
    <row r="186" spans="2:10" ht="15.5">
      <c r="B186" s="4" t="s">
        <v>387</v>
      </c>
      <c r="C186" s="17" t="s">
        <v>379</v>
      </c>
      <c r="D186" s="46"/>
      <c r="E186" s="40" t="s">
        <v>257</v>
      </c>
      <c r="F186" s="32"/>
      <c r="G186" s="12" t="s">
        <v>232</v>
      </c>
      <c r="H186" s="2" t="str">
        <f>IF(G186="","",IF(G186="EKSPLORASI","EXP-"&amp;TEXT(COUNTIF($G$3:G186,G186),"000"),IF(G186="HSE","HSE-"&amp;TEXT(COUNTIF($G$3:G186,G186),"000"),IF(G186="QAQC","QAQC-"&amp;TEXT(COUNTIF($G$3:G186,G186),"000"),IF(G186="HCGA","HCGA-"&amp;TEXT(COUNTIF($G$3:G186,G186),"000"),IF(G186="MAINTENANCE","MNT-"&amp;TEXT(COUNTIF($G$3:G186,G186),"000"),IF(G186="CIVIL","CIV-"&amp;TEXT(COUNTIF($G$3:G186,G186),"000"),IF(G186="GANIS","GAN-"&amp;TEXT(COUNTIF($G$3:G186,G186),"000"),IF(G186="ENGINEERING","ENG-"&amp;TEXT(COUNTIF($G$3:G186,G186),"000"),IF(G186="PRODUKSI","PRO-"&amp;TEXT(COUNTIF($G$3:G186,G186),"000"),IF(G186="SURVEY","SUR-"&amp;TEXT(COUNTIF($G$3:G186,G186),"000"),"")))))))))))</f>
        <v>QAQC-076</v>
      </c>
      <c r="I186" s="3"/>
      <c r="J186" s="3"/>
    </row>
    <row r="187" spans="2:10" ht="15.5">
      <c r="B187" s="4" t="s">
        <v>389</v>
      </c>
      <c r="C187" s="17" t="s">
        <v>381</v>
      </c>
      <c r="D187" s="46"/>
      <c r="E187" s="40" t="s">
        <v>382</v>
      </c>
      <c r="F187" s="32"/>
      <c r="G187" s="12" t="s">
        <v>232</v>
      </c>
      <c r="H187" s="2" t="str">
        <f>IF(G187="","",IF(G187="EKSPLORASI","EXP-"&amp;TEXT(COUNTIF($G$3:G187,G187),"000"),IF(G187="HSE","HSE-"&amp;TEXT(COUNTIF($G$3:G187,G187),"000"),IF(G187="QAQC","QAQC-"&amp;TEXT(COUNTIF($G$3:G187,G187),"000"),IF(G187="HCGA","HCGA-"&amp;TEXT(COUNTIF($G$3:G187,G187),"000"),IF(G187="MAINTENANCE","MNT-"&amp;TEXT(COUNTIF($G$3:G187,G187),"000"),IF(G187="CIVIL","CIV-"&amp;TEXT(COUNTIF($G$3:G187,G187),"000"),IF(G187="GANIS","GAN-"&amp;TEXT(COUNTIF($G$3:G187,G187),"000"),IF(G187="ENGINEERING","ENG-"&amp;TEXT(COUNTIF($G$3:G187,G187),"000"),IF(G187="PRODUKSI","PRO-"&amp;TEXT(COUNTIF($G$3:G187,G187),"000"),IF(G187="SURVEY","SUR-"&amp;TEXT(COUNTIF($G$3:G187,G187),"000"),"")))))))))))</f>
        <v>QAQC-077</v>
      </c>
      <c r="I187" s="3"/>
      <c r="J187" s="3"/>
    </row>
    <row r="188" spans="2:10" ht="15.5">
      <c r="B188" s="4" t="s">
        <v>390</v>
      </c>
      <c r="C188" s="17" t="s">
        <v>384</v>
      </c>
      <c r="D188" s="46">
        <v>170000</v>
      </c>
      <c r="E188" s="40" t="s">
        <v>171</v>
      </c>
      <c r="F188" s="32" t="s">
        <v>1099</v>
      </c>
      <c r="G188" s="12" t="s">
        <v>232</v>
      </c>
      <c r="H188" s="2" t="str">
        <f>IF(G188="","",IF(G188="EKSPLORASI","EXP-"&amp;TEXT(COUNTIF($G$3:G188,G188),"000"),IF(G188="HSE","HSE-"&amp;TEXT(COUNTIF($G$3:G188,G188),"000"),IF(G188="QAQC","QAQC-"&amp;TEXT(COUNTIF($G$3:G188,G188),"000"),IF(G188="HCGA","HCGA-"&amp;TEXT(COUNTIF($G$3:G188,G188),"000"),IF(G188="MAINTENANCE","MNT-"&amp;TEXT(COUNTIF($G$3:G188,G188),"000"),IF(G188="CIVIL","CIV-"&amp;TEXT(COUNTIF($G$3:G188,G188),"000"),IF(G188="GANIS","GAN-"&amp;TEXT(COUNTIF($G$3:G188,G188),"000"),IF(G188="ENGINEERING","ENG-"&amp;TEXT(COUNTIF($G$3:G188,G188),"000"),IF(G188="PRODUKSI","PRO-"&amp;TEXT(COUNTIF($G$3:G188,G188),"000"),IF(G188="SURVEY","SUR-"&amp;TEXT(COUNTIF($G$3:G188,G188),"000"),"")))))))))))</f>
        <v>QAQC-078</v>
      </c>
      <c r="I188" s="3"/>
      <c r="J188" s="3"/>
    </row>
    <row r="189" spans="2:10" ht="15.5">
      <c r="B189" s="4" t="s">
        <v>392</v>
      </c>
      <c r="C189" s="17" t="s">
        <v>386</v>
      </c>
      <c r="D189" s="46"/>
      <c r="E189" s="40" t="s">
        <v>183</v>
      </c>
      <c r="F189" s="32"/>
      <c r="G189" s="12" t="s">
        <v>232</v>
      </c>
      <c r="H189" s="2" t="str">
        <f>IF(G189="","",IF(G189="EKSPLORASI","EXP-"&amp;TEXT(COUNTIF($G$3:G189,G189),"000"),IF(G189="HSE","HSE-"&amp;TEXT(COUNTIF($G$3:G189,G189),"000"),IF(G189="QAQC","QAQC-"&amp;TEXT(COUNTIF($G$3:G189,G189),"000"),IF(G189="HCGA","HCGA-"&amp;TEXT(COUNTIF($G$3:G189,G189),"000"),IF(G189="MAINTENANCE","MNT-"&amp;TEXT(COUNTIF($G$3:G189,G189),"000"),IF(G189="CIVIL","CIV-"&amp;TEXT(COUNTIF($G$3:G189,G189),"000"),IF(G189="GANIS","GAN-"&amp;TEXT(COUNTIF($G$3:G189,G189),"000"),IF(G189="ENGINEERING","ENG-"&amp;TEXT(COUNTIF($G$3:G189,G189),"000"),IF(G189="PRODUKSI","PRO-"&amp;TEXT(COUNTIF($G$3:G189,G189),"000"),IF(G189="SURVEY","SUR-"&amp;TEXT(COUNTIF($G$3:G189,G189),"000"),"")))))))))))</f>
        <v>QAQC-079</v>
      </c>
      <c r="I189" s="3"/>
      <c r="J189" s="3"/>
    </row>
    <row r="190" spans="2:10" ht="15.5">
      <c r="B190" s="4" t="s">
        <v>394</v>
      </c>
      <c r="C190" s="17" t="s">
        <v>388</v>
      </c>
      <c r="D190" s="46"/>
      <c r="E190" s="40" t="s">
        <v>14</v>
      </c>
      <c r="F190" s="32"/>
      <c r="G190" s="12" t="s">
        <v>232</v>
      </c>
      <c r="H190" s="2" t="str">
        <f>IF(G190="","",IF(G190="EKSPLORASI","EXP-"&amp;TEXT(COUNTIF($G$3:G190,G190),"000"),IF(G190="HSE","HSE-"&amp;TEXT(COUNTIF($G$3:G190,G190),"000"),IF(G190="QAQC","QAQC-"&amp;TEXT(COUNTIF($G$3:G190,G190),"000"),IF(G190="HCGA","HCGA-"&amp;TEXT(COUNTIF($G$3:G190,G190),"000"),IF(G190="MAINTENANCE","MNT-"&amp;TEXT(COUNTIF($G$3:G190,G190),"000"),IF(G190="CIVIL","CIV-"&amp;TEXT(COUNTIF($G$3:G190,G190),"000"),IF(G190="GANIS","GAN-"&amp;TEXT(COUNTIF($G$3:G190,G190),"000"),IF(G190="ENGINEERING","ENG-"&amp;TEXT(COUNTIF($G$3:G190,G190),"000"),IF(G190="PRODUKSI","PRO-"&amp;TEXT(COUNTIF($G$3:G190,G190),"000"),IF(G190="SURVEY","SUR-"&amp;TEXT(COUNTIF($G$3:G190,G190),"000"),"")))))))))))</f>
        <v>QAQC-080</v>
      </c>
      <c r="I190" s="3"/>
      <c r="J190" s="3"/>
    </row>
    <row r="191" spans="2:10" ht="15.5">
      <c r="B191" s="4" t="s">
        <v>396</v>
      </c>
      <c r="C191" s="17" t="s">
        <v>52</v>
      </c>
      <c r="D191" s="47">
        <v>30000</v>
      </c>
      <c r="E191" s="40" t="s">
        <v>14</v>
      </c>
      <c r="F191" s="34" t="s">
        <v>1087</v>
      </c>
      <c r="G191" s="12" t="s">
        <v>232</v>
      </c>
      <c r="H191" s="2" t="str">
        <f>IF(G191="","",IF(G191="EKSPLORASI","EXP-"&amp;TEXT(COUNTIF($G$3:G191,G191),"000"),IF(G191="HSE","HSE-"&amp;TEXT(COUNTIF($G$3:G191,G191),"000"),IF(G191="QAQC","QAQC-"&amp;TEXT(COUNTIF($G$3:G191,G191),"000"),IF(G191="HCGA","HCGA-"&amp;TEXT(COUNTIF($G$3:G191,G191),"000"),IF(G191="MAINTENANCE","MNT-"&amp;TEXT(COUNTIF($G$3:G191,G191),"000"),IF(G191="CIVIL","CIV-"&amp;TEXT(COUNTIF($G$3:G191,G191),"000"),IF(G191="GANIS","GAN-"&amp;TEXT(COUNTIF($G$3:G191,G191),"000"),IF(G191="ENGINEERING","ENG-"&amp;TEXT(COUNTIF($G$3:G191,G191),"000"),IF(G191="PRODUKSI","PRO-"&amp;TEXT(COUNTIF($G$3:G191,G191),"000"),IF(G191="SURVEY","SUR-"&amp;TEXT(COUNTIF($G$3:G191,G191),"000"),"")))))))))))</f>
        <v>QAQC-081</v>
      </c>
      <c r="I191" s="3"/>
      <c r="J191" s="3"/>
    </row>
    <row r="192" spans="2:10" ht="15.5">
      <c r="B192" s="4" t="s">
        <v>398</v>
      </c>
      <c r="C192" s="17" t="s">
        <v>391</v>
      </c>
      <c r="D192" s="46">
        <v>80000</v>
      </c>
      <c r="E192" s="40" t="s">
        <v>74</v>
      </c>
      <c r="F192" s="32" t="s">
        <v>1099</v>
      </c>
      <c r="G192" s="12" t="s">
        <v>232</v>
      </c>
      <c r="H192" s="2" t="str">
        <f>IF(G192="","",IF(G192="EKSPLORASI","EXP-"&amp;TEXT(COUNTIF($G$3:G192,G192),"000"),IF(G192="HSE","HSE-"&amp;TEXT(COUNTIF($G$3:G192,G192),"000"),IF(G192="QAQC","QAQC-"&amp;TEXT(COUNTIF($G$3:G192,G192),"000"),IF(G192="HCGA","HCGA-"&amp;TEXT(COUNTIF($G$3:G192,G192),"000"),IF(G192="MAINTENANCE","MNT-"&amp;TEXT(COUNTIF($G$3:G192,G192),"000"),IF(G192="CIVIL","CIV-"&amp;TEXT(COUNTIF($G$3:G192,G192),"000"),IF(G192="GANIS","GAN-"&amp;TEXT(COUNTIF($G$3:G192,G192),"000"),IF(G192="ENGINEERING","ENG-"&amp;TEXT(COUNTIF($G$3:G192,G192),"000"),IF(G192="PRODUKSI","PRO-"&amp;TEXT(COUNTIF($G$3:G192,G192),"000"),IF(G192="SURVEY","SUR-"&amp;TEXT(COUNTIF($G$3:G192,G192),"000"),"")))))))))))</f>
        <v>QAQC-082</v>
      </c>
      <c r="I192" s="3"/>
      <c r="J192" s="3"/>
    </row>
    <row r="193" spans="2:10" ht="15.5">
      <c r="B193" s="4" t="s">
        <v>400</v>
      </c>
      <c r="C193" s="17" t="s">
        <v>393</v>
      </c>
      <c r="D193" s="46"/>
      <c r="E193" s="40" t="s">
        <v>235</v>
      </c>
      <c r="F193" s="32"/>
      <c r="G193" s="12" t="s">
        <v>232</v>
      </c>
      <c r="H193" s="2" t="str">
        <f>IF(G193="","",IF(G193="EKSPLORASI","EXP-"&amp;TEXT(COUNTIF($G$3:G193,G193),"000"),IF(G193="HSE","HSE-"&amp;TEXT(COUNTIF($G$3:G193,G193),"000"),IF(G193="QAQC","QAQC-"&amp;TEXT(COUNTIF($G$3:G193,G193),"000"),IF(G193="HCGA","HCGA-"&amp;TEXT(COUNTIF($G$3:G193,G193),"000"),IF(G193="MAINTENANCE","MNT-"&amp;TEXT(COUNTIF($G$3:G193,G193),"000"),IF(G193="CIVIL","CIV-"&amp;TEXT(COUNTIF($G$3:G193,G193),"000"),IF(G193="GANIS","GAN-"&amp;TEXT(COUNTIF($G$3:G193,G193),"000"),IF(G193="ENGINEERING","ENG-"&amp;TEXT(COUNTIF($G$3:G193,G193),"000"),IF(G193="PRODUKSI","PRO-"&amp;TEXT(COUNTIF($G$3:G193,G193),"000"),IF(G193="SURVEY","SUR-"&amp;TEXT(COUNTIF($G$3:G193,G193),"000"),"")))))))))))</f>
        <v>QAQC-083</v>
      </c>
      <c r="I193" s="3"/>
      <c r="J193" s="3"/>
    </row>
    <row r="194" spans="2:10" ht="15.5">
      <c r="B194" s="4" t="s">
        <v>403</v>
      </c>
      <c r="C194" s="17" t="s">
        <v>395</v>
      </c>
      <c r="D194" s="46"/>
      <c r="E194" s="40" t="s">
        <v>14</v>
      </c>
      <c r="F194" s="32"/>
      <c r="G194" s="12" t="s">
        <v>232</v>
      </c>
      <c r="H194" s="2" t="str">
        <f>IF(G194="","",IF(G194="EKSPLORASI","EXP-"&amp;TEXT(COUNTIF($G$3:G194,G194),"000"),IF(G194="HSE","HSE-"&amp;TEXT(COUNTIF($G$3:G194,G194),"000"),IF(G194="QAQC","QAQC-"&amp;TEXT(COUNTIF($G$3:G194,G194),"000"),IF(G194="HCGA","HCGA-"&amp;TEXT(COUNTIF($G$3:G194,G194),"000"),IF(G194="MAINTENANCE","MNT-"&amp;TEXT(COUNTIF($G$3:G194,G194),"000"),IF(G194="CIVIL","CIV-"&amp;TEXT(COUNTIF($G$3:G194,G194),"000"),IF(G194="GANIS","GAN-"&amp;TEXT(COUNTIF($G$3:G194,G194),"000"),IF(G194="ENGINEERING","ENG-"&amp;TEXT(COUNTIF($G$3:G194,G194),"000"),IF(G194="PRODUKSI","PRO-"&amp;TEXT(COUNTIF($G$3:G194,G194),"000"),IF(G194="SURVEY","SUR-"&amp;TEXT(COUNTIF($G$3:G194,G194),"000"),"")))))))))))</f>
        <v>QAQC-084</v>
      </c>
      <c r="I194" s="3"/>
      <c r="J194" s="3"/>
    </row>
    <row r="195" spans="2:10" ht="15.5">
      <c r="B195" s="4" t="s">
        <v>405</v>
      </c>
      <c r="C195" s="17" t="s">
        <v>397</v>
      </c>
      <c r="D195" s="46"/>
      <c r="E195" s="40" t="s">
        <v>14</v>
      </c>
      <c r="F195" s="32"/>
      <c r="G195" s="12" t="s">
        <v>232</v>
      </c>
      <c r="H195" s="2" t="str">
        <f>IF(G195="","",IF(G195="EKSPLORASI","EXP-"&amp;TEXT(COUNTIF($G$3:G195,G195),"000"),IF(G195="HSE","HSE-"&amp;TEXT(COUNTIF($G$3:G195,G195),"000"),IF(G195="QAQC","QAQC-"&amp;TEXT(COUNTIF($G$3:G195,G195),"000"),IF(G195="HCGA","HCGA-"&amp;TEXT(COUNTIF($G$3:G195,G195),"000"),IF(G195="MAINTENANCE","MNT-"&amp;TEXT(COUNTIF($G$3:G195,G195),"000"),IF(G195="CIVIL","CIV-"&amp;TEXT(COUNTIF($G$3:G195,G195),"000"),IF(G195="GANIS","GAN-"&amp;TEXT(COUNTIF($G$3:G195,G195),"000"),IF(G195="ENGINEERING","ENG-"&amp;TEXT(COUNTIF($G$3:G195,G195),"000"),IF(G195="PRODUKSI","PRO-"&amp;TEXT(COUNTIF($G$3:G195,G195),"000"),IF(G195="SURVEY","SUR-"&amp;TEXT(COUNTIF($G$3:G195,G195),"000"),"")))))))))))</f>
        <v>QAQC-085</v>
      </c>
      <c r="I195" s="3"/>
      <c r="J195" s="3"/>
    </row>
    <row r="196" spans="2:10" ht="15.5">
      <c r="B196" s="4" t="s">
        <v>407</v>
      </c>
      <c r="C196" s="18" t="s">
        <v>399</v>
      </c>
      <c r="D196" s="46"/>
      <c r="E196" s="43" t="s">
        <v>14</v>
      </c>
      <c r="F196" s="32"/>
      <c r="G196" s="15" t="s">
        <v>232</v>
      </c>
      <c r="H196" s="30" t="str">
        <f>IF(G196="","",IF(G196="EKSPLORASI","EXP-"&amp;TEXT(COUNTIF($G$3:G196,G196),"000"),IF(G196="HSE","HSE-"&amp;TEXT(COUNTIF($G$3:G196,G196),"000"),IF(G196="QAQC","QAQC-"&amp;TEXT(COUNTIF($G$3:G196,G196),"000"),IF(G196="HCGA","HCGA-"&amp;TEXT(COUNTIF($G$3:G196,G196),"000"),IF(G196="MAINTENANCE","MNT-"&amp;TEXT(COUNTIF($G$3:G196,G196),"000"),IF(G196="CIVIL","CIV-"&amp;TEXT(COUNTIF($G$3:G196,G196),"000"),IF(G196="GANIS","GAN-"&amp;TEXT(COUNTIF($G$3:G196,G196),"000"),IF(G196="ENGINEERING","ENG-"&amp;TEXT(COUNTIF($G$3:G196,G196),"000"),IF(G196="PRODUKSI","PRO-"&amp;TEXT(COUNTIF($G$3:G196,G196),"000"),IF(G196="SURVEY","SUR-"&amp;TEXT(COUNTIF($G$3:G196,G196),"000"),"")))))))))))</f>
        <v>QAQC-086</v>
      </c>
      <c r="I196" s="29"/>
      <c r="J196" s="29"/>
    </row>
    <row r="197" spans="2:10" ht="15.5">
      <c r="B197" s="4" t="s">
        <v>409</v>
      </c>
      <c r="C197" s="19" t="s">
        <v>401</v>
      </c>
      <c r="D197" s="49"/>
      <c r="E197" s="40" t="s">
        <v>14</v>
      </c>
      <c r="F197" s="44"/>
      <c r="G197" s="2" t="s">
        <v>402</v>
      </c>
      <c r="H197" s="2" t="str">
        <f>IF(G197="","",IF(G197="EKSPLORASI","EXP-"&amp;TEXT(COUNTIF($G$3:G197,G197),"000"),IF(G197="HSE","HSE-"&amp;TEXT(COUNTIF($G$3:G197,G197),"000"),IF(G197="QAQC","QAQC-"&amp;TEXT(COUNTIF($G$3:G197,G197),"000"),IF(G197="HCGA","HCGA-"&amp;TEXT(COUNTIF($G$3:G197,G197),"000"),IF(G197="MAINTENANCE","MNT-"&amp;TEXT(COUNTIF($G$3:G197,G197),"000"),IF(G197="CIVIL","CIV-"&amp;TEXT(COUNTIF($G$3:G197,G197),"000"),IF(G197="GANIS","GAN-"&amp;TEXT(COUNTIF($G$3:G197,G197),"000"),IF(G197="ENGINEERING","ENG-"&amp;TEXT(COUNTIF($G$3:G197,G197),"000"),IF(G197="PRODUKSI","PRO-"&amp;TEXT(COUNTIF($G$3:G197,G197),"000"),IF(G197="SURVEY","SUR-"&amp;TEXT(COUNTIF($G$3:G197,G197),"000"),"")))))))))))</f>
        <v>CIV-002</v>
      </c>
      <c r="I197" s="3"/>
      <c r="J197" s="3"/>
    </row>
    <row r="198" spans="2:10" ht="15.5">
      <c r="B198" s="4" t="s">
        <v>411</v>
      </c>
      <c r="C198" s="19" t="s">
        <v>404</v>
      </c>
      <c r="D198" s="46"/>
      <c r="E198" s="40" t="s">
        <v>14</v>
      </c>
      <c r="F198" s="32"/>
      <c r="G198" s="2" t="s">
        <v>402</v>
      </c>
      <c r="H198" s="2" t="str">
        <f>IF(G198="","",IF(G198="EKSPLORASI","EXP-"&amp;TEXT(COUNTIF($G$3:G198,G198),"000"),IF(G198="HSE","HSE-"&amp;TEXT(COUNTIF($G$3:G198,G198),"000"),IF(G198="QAQC","QAQC-"&amp;TEXT(COUNTIF($G$3:G198,G198),"000"),IF(G198="HCGA","HCGA-"&amp;TEXT(COUNTIF($G$3:G198,G198),"000"),IF(G198="MAINTENANCE","MNT-"&amp;TEXT(COUNTIF($G$3:G198,G198),"000"),IF(G198="CIVIL","CIV-"&amp;TEXT(COUNTIF($G$3:G198,G198),"000"),IF(G198="GANIS","GAN-"&amp;TEXT(COUNTIF($G$3:G198,G198),"000"),IF(G198="ENGINEERING","ENG-"&amp;TEXT(COUNTIF($G$3:G198,G198),"000"),IF(G198="PRODUKSI","PRO-"&amp;TEXT(COUNTIF($G$3:G198,G198),"000"),IF(G198="SURVEY","SUR-"&amp;TEXT(COUNTIF($G$3:G198,G198),"000"),"")))))))))))</f>
        <v>CIV-003</v>
      </c>
      <c r="I198" s="3"/>
      <c r="J198" s="3"/>
    </row>
    <row r="199" spans="2:10" ht="15.5">
      <c r="B199" s="4" t="s">
        <v>413</v>
      </c>
      <c r="C199" s="16" t="s">
        <v>406</v>
      </c>
      <c r="D199" s="46"/>
      <c r="E199" s="40" t="s">
        <v>14</v>
      </c>
      <c r="F199" s="32"/>
      <c r="G199" s="2" t="s">
        <v>402</v>
      </c>
      <c r="H199" s="2" t="str">
        <f>IF(G199="","",IF(G199="EKSPLORASI","EXP-"&amp;TEXT(COUNTIF($G$3:G199,G199),"000"),IF(G199="HSE","HSE-"&amp;TEXT(COUNTIF($G$3:G199,G199),"000"),IF(G199="QAQC","QAQC-"&amp;TEXT(COUNTIF($G$3:G199,G199),"000"),IF(G199="HCGA","HCGA-"&amp;TEXT(COUNTIF($G$3:G199,G199),"000"),IF(G199="MAINTENANCE","MNT-"&amp;TEXT(COUNTIF($G$3:G199,G199),"000"),IF(G199="CIVIL","CIV-"&amp;TEXT(COUNTIF($G$3:G199,G199),"000"),IF(G199="GANIS","GAN-"&amp;TEXT(COUNTIF($G$3:G199,G199),"000"),IF(G199="ENGINEERING","ENG-"&amp;TEXT(COUNTIF($G$3:G199,G199),"000"),IF(G199="PRODUKSI","PRO-"&amp;TEXT(COUNTIF($G$3:G199,G199),"000"),IF(G199="SURVEY","SUR-"&amp;TEXT(COUNTIF($G$3:G199,G199),"000"),"")))))))))))</f>
        <v>CIV-004</v>
      </c>
      <c r="I199" s="3"/>
      <c r="J199" s="3"/>
    </row>
    <row r="200" spans="2:10" ht="15.5">
      <c r="B200" s="4" t="s">
        <v>415</v>
      </c>
      <c r="C200" s="16" t="s">
        <v>408</v>
      </c>
      <c r="D200" s="46"/>
      <c r="E200" s="40" t="s">
        <v>14</v>
      </c>
      <c r="F200" s="32"/>
      <c r="G200" s="2" t="s">
        <v>402</v>
      </c>
      <c r="H200" s="2" t="str">
        <f>IF(G200="","",IF(G200="EKSPLORASI","EXP-"&amp;TEXT(COUNTIF($G$3:G200,G200),"000"),IF(G200="HSE","HSE-"&amp;TEXT(COUNTIF($G$3:G200,G200),"000"),IF(G200="QAQC","QAQC-"&amp;TEXT(COUNTIF($G$3:G200,G200),"000"),IF(G200="HCGA","HCGA-"&amp;TEXT(COUNTIF($G$3:G200,G200),"000"),IF(G200="MAINTENANCE","MNT-"&amp;TEXT(COUNTIF($G$3:G200,G200),"000"),IF(G200="CIVIL","CIV-"&amp;TEXT(COUNTIF($G$3:G200,G200),"000"),IF(G200="GANIS","GAN-"&amp;TEXT(COUNTIF($G$3:G200,G200),"000"),IF(G200="ENGINEERING","ENG-"&amp;TEXT(COUNTIF($G$3:G200,G200),"000"),IF(G200="PRODUKSI","PRO-"&amp;TEXT(COUNTIF($G$3:G200,G200),"000"),IF(G200="SURVEY","SUR-"&amp;TEXT(COUNTIF($G$3:G200,G200),"000"),"")))))))))))</f>
        <v>CIV-005</v>
      </c>
      <c r="I200" s="3"/>
      <c r="J200" s="3"/>
    </row>
    <row r="201" spans="2:10" ht="15.5">
      <c r="B201" s="4" t="s">
        <v>416</v>
      </c>
      <c r="C201" s="16" t="s">
        <v>410</v>
      </c>
      <c r="D201" s="46"/>
      <c r="E201" s="40" t="s">
        <v>14</v>
      </c>
      <c r="F201" s="32"/>
      <c r="G201" s="2" t="s">
        <v>402</v>
      </c>
      <c r="H201" s="2" t="str">
        <f>IF(G201="","",IF(G201="EKSPLORASI","EXP-"&amp;TEXT(COUNTIF($G$3:G201,G201),"000"),IF(G201="HSE","HSE-"&amp;TEXT(COUNTIF($G$3:G201,G201),"000"),IF(G201="QAQC","QAQC-"&amp;TEXT(COUNTIF($G$3:G201,G201),"000"),IF(G201="HCGA","HCGA-"&amp;TEXT(COUNTIF($G$3:G201,G201),"000"),IF(G201="MAINTENANCE","MNT-"&amp;TEXT(COUNTIF($G$3:G201,G201),"000"),IF(G201="CIVIL","CIV-"&amp;TEXT(COUNTIF($G$3:G201,G201),"000"),IF(G201="GANIS","GAN-"&amp;TEXT(COUNTIF($G$3:G201,G201),"000"),IF(G201="ENGINEERING","ENG-"&amp;TEXT(COUNTIF($G$3:G201,G201),"000"),IF(G201="PRODUKSI","PRO-"&amp;TEXT(COUNTIF($G$3:G201,G201),"000"),IF(G201="SURVEY","SUR-"&amp;TEXT(COUNTIF($G$3:G201,G201),"000"),"")))))))))))</f>
        <v>CIV-006</v>
      </c>
      <c r="I201" s="3"/>
      <c r="J201" s="3"/>
    </row>
    <row r="202" spans="2:10" ht="15.5">
      <c r="B202" s="4" t="s">
        <v>417</v>
      </c>
      <c r="C202" s="16" t="s">
        <v>412</v>
      </c>
      <c r="D202" s="46"/>
      <c r="E202" s="40" t="s">
        <v>14</v>
      </c>
      <c r="F202" s="32"/>
      <c r="G202" s="2" t="s">
        <v>402</v>
      </c>
      <c r="H202" s="2" t="str">
        <f>IF(G202="","",IF(G202="EKSPLORASI","EXP-"&amp;TEXT(COUNTIF($G$3:G202,G202),"000"),IF(G202="HSE","HSE-"&amp;TEXT(COUNTIF($G$3:G202,G202),"000"),IF(G202="QAQC","QAQC-"&amp;TEXT(COUNTIF($G$3:G202,G202),"000"),IF(G202="HCGA","HCGA-"&amp;TEXT(COUNTIF($G$3:G202,G202),"000"),IF(G202="MAINTENANCE","MNT-"&amp;TEXT(COUNTIF($G$3:G202,G202),"000"),IF(G202="CIVIL","CIV-"&amp;TEXT(COUNTIF($G$3:G202,G202),"000"),IF(G202="GANIS","GAN-"&amp;TEXT(COUNTIF($G$3:G202,G202),"000"),IF(G202="ENGINEERING","ENG-"&amp;TEXT(COUNTIF($G$3:G202,G202),"000"),IF(G202="PRODUKSI","PRO-"&amp;TEXT(COUNTIF($G$3:G202,G202),"000"),IF(G202="SURVEY","SUR-"&amp;TEXT(COUNTIF($G$3:G202,G202),"000"),"")))))))))))</f>
        <v>CIV-007</v>
      </c>
      <c r="I202" s="3"/>
      <c r="J202" s="3"/>
    </row>
    <row r="203" spans="2:10" ht="15.5">
      <c r="B203" s="4" t="s">
        <v>419</v>
      </c>
      <c r="C203" s="16" t="s">
        <v>414</v>
      </c>
      <c r="D203" s="46"/>
      <c r="E203" s="40" t="s">
        <v>14</v>
      </c>
      <c r="F203" s="32"/>
      <c r="G203" s="2" t="s">
        <v>402</v>
      </c>
      <c r="H203" s="2" t="str">
        <f>IF(G203="","",IF(G203="EKSPLORASI","EXP-"&amp;TEXT(COUNTIF($G$3:G203,G203),"000"),IF(G203="HSE","HSE-"&amp;TEXT(COUNTIF($G$3:G203,G203),"000"),IF(G203="QAQC","QAQC-"&amp;TEXT(COUNTIF($G$3:G203,G203),"000"),IF(G203="HCGA","HCGA-"&amp;TEXT(COUNTIF($G$3:G203,G203),"000"),IF(G203="MAINTENANCE","MNT-"&amp;TEXT(COUNTIF($G$3:G203,G203),"000"),IF(G203="CIVIL","CIV-"&amp;TEXT(COUNTIF($G$3:G203,G203),"000"),IF(G203="GANIS","GAN-"&amp;TEXT(COUNTIF($G$3:G203,G203),"000"),IF(G203="ENGINEERING","ENG-"&amp;TEXT(COUNTIF($G$3:G203,G203),"000"),IF(G203="PRODUKSI","PRO-"&amp;TEXT(COUNTIF($G$3:G203,G203),"000"),IF(G203="SURVEY","SUR-"&amp;TEXT(COUNTIF($G$3:G203,G203),"000"),"")))))))))))</f>
        <v>CIV-008</v>
      </c>
      <c r="I203" s="3"/>
      <c r="J203" s="3"/>
    </row>
    <row r="204" spans="2:10" ht="15.5">
      <c r="B204" s="4" t="s">
        <v>420</v>
      </c>
      <c r="C204" s="16" t="s">
        <v>73</v>
      </c>
      <c r="D204" s="46">
        <v>20000</v>
      </c>
      <c r="E204" s="40" t="s">
        <v>14</v>
      </c>
      <c r="F204" s="34" t="s">
        <v>1089</v>
      </c>
      <c r="G204" s="2" t="s">
        <v>402</v>
      </c>
      <c r="H204" s="2" t="str">
        <f>IF(G204="","",IF(G204="EKSPLORASI","EXP-"&amp;TEXT(COUNTIF($G$3:G204,G204),"000"),IF(G204="HSE","HSE-"&amp;TEXT(COUNTIF($G$3:G204,G204),"000"),IF(G204="QAQC","QAQC-"&amp;TEXT(COUNTIF($G$3:G204,G204),"000"),IF(G204="HCGA","HCGA-"&amp;TEXT(COUNTIF($G$3:G204,G204),"000"),IF(G204="MAINTENANCE","MNT-"&amp;TEXT(COUNTIF($G$3:G204,G204),"000"),IF(G204="CIVIL","CIV-"&amp;TEXT(COUNTIF($G$3:G204,G204),"000"),IF(G204="GANIS","GAN-"&amp;TEXT(COUNTIF($G$3:G204,G204),"000"),IF(G204="ENGINEERING","ENG-"&amp;TEXT(COUNTIF($G$3:G204,G204),"000"),IF(G204="PRODUKSI","PRO-"&amp;TEXT(COUNTIF($G$3:G204,G204),"000"),IF(G204="SURVEY","SUR-"&amp;TEXT(COUNTIF($G$3:G204,G204),"000"),"")))))))))))</f>
        <v>CIV-009</v>
      </c>
      <c r="I204" s="3"/>
      <c r="J204" s="3"/>
    </row>
    <row r="205" spans="2:10" ht="15.5">
      <c r="B205" s="4" t="s">
        <v>421</v>
      </c>
      <c r="C205" s="16" t="s">
        <v>337</v>
      </c>
      <c r="D205" s="46">
        <v>30000</v>
      </c>
      <c r="E205" s="40" t="s">
        <v>139</v>
      </c>
      <c r="F205" s="34" t="s">
        <v>1089</v>
      </c>
      <c r="G205" s="2" t="s">
        <v>402</v>
      </c>
      <c r="H205" s="2" t="str">
        <f>IF(G205="","",IF(G205="EKSPLORASI","EXP-"&amp;TEXT(COUNTIF($G$3:G205,G205),"000"),IF(G205="HSE","HSE-"&amp;TEXT(COUNTIF($G$3:G205,G205),"000"),IF(G205="QAQC","QAQC-"&amp;TEXT(COUNTIF($G$3:G205,G205),"000"),IF(G205="HCGA","HCGA-"&amp;TEXT(COUNTIF($G$3:G205,G205),"000"),IF(G205="MAINTENANCE","MNT-"&amp;TEXT(COUNTIF($G$3:G205,G205),"000"),IF(G205="CIVIL","CIV-"&amp;TEXT(COUNTIF($G$3:G205,G205),"000"),IF(G205="GANIS","GAN-"&amp;TEXT(COUNTIF($G$3:G205,G205),"000"),IF(G205="ENGINEERING","ENG-"&amp;TEXT(COUNTIF($G$3:G205,G205),"000"),IF(G205="PRODUKSI","PRO-"&amp;TEXT(COUNTIF($G$3:G205,G205),"000"),IF(G205="SURVEY","SUR-"&amp;TEXT(COUNTIF($G$3:G205,G205),"000"),"")))))))))))</f>
        <v>CIV-010</v>
      </c>
      <c r="I205" s="3"/>
      <c r="J205" s="3"/>
    </row>
    <row r="206" spans="2:10" ht="15.5">
      <c r="B206" s="4" t="s">
        <v>423</v>
      </c>
      <c r="C206" s="16" t="s">
        <v>381</v>
      </c>
      <c r="D206" s="46"/>
      <c r="E206" s="40" t="s">
        <v>418</v>
      </c>
      <c r="F206" s="32"/>
      <c r="G206" s="2" t="s">
        <v>402</v>
      </c>
      <c r="H206" s="2" t="str">
        <f>IF(G206="","",IF(G206="EKSPLORASI","EXP-"&amp;TEXT(COUNTIF($G$3:G206,G206),"000"),IF(G206="HSE","HSE-"&amp;TEXT(COUNTIF($G$3:G206,G206),"000"),IF(G206="QAQC","QAQC-"&amp;TEXT(COUNTIF($G$3:G206,G206),"000"),IF(G206="HCGA","HCGA-"&amp;TEXT(COUNTIF($G$3:G206,G206),"000"),IF(G206="MAINTENANCE","MNT-"&amp;TEXT(COUNTIF($G$3:G206,G206),"000"),IF(G206="CIVIL","CIV-"&amp;TEXT(COUNTIF($G$3:G206,G206),"000"),IF(G206="GANIS","GAN-"&amp;TEXT(COUNTIF($G$3:G206,G206),"000"),IF(G206="ENGINEERING","ENG-"&amp;TEXT(COUNTIF($G$3:G206,G206),"000"),IF(G206="PRODUKSI","PRO-"&amp;TEXT(COUNTIF($G$3:G206,G206),"000"),IF(G206="SURVEY","SUR-"&amp;TEXT(COUNTIF($G$3:G206,G206),"000"),"")))))))))))</f>
        <v>CIV-011</v>
      </c>
      <c r="I206" s="3"/>
      <c r="J206" s="3"/>
    </row>
    <row r="207" spans="2:10" ht="15.5">
      <c r="B207" s="4" t="s">
        <v>426</v>
      </c>
      <c r="C207" s="16" t="s">
        <v>205</v>
      </c>
      <c r="D207" s="46"/>
      <c r="E207" s="40" t="s">
        <v>46</v>
      </c>
      <c r="F207" s="32"/>
      <c r="G207" s="2" t="s">
        <v>402</v>
      </c>
      <c r="H207" s="2" t="str">
        <f>IF(G207="","",IF(G207="EKSPLORASI","EXP-"&amp;TEXT(COUNTIF($G$3:G207,G207),"000"),IF(G207="HSE","HSE-"&amp;TEXT(COUNTIF($G$3:G207,G207),"000"),IF(G207="QAQC","QAQC-"&amp;TEXT(COUNTIF($G$3:G207,G207),"000"),IF(G207="HCGA","HCGA-"&amp;TEXT(COUNTIF($G$3:G207,G207),"000"),IF(G207="MAINTENANCE","MNT-"&amp;TEXT(COUNTIF($G$3:G207,G207),"000"),IF(G207="CIVIL","CIV-"&amp;TEXT(COUNTIF($G$3:G207,G207),"000"),IF(G207="GANIS","GAN-"&amp;TEXT(COUNTIF($G$3:G207,G207),"000"),IF(G207="ENGINEERING","ENG-"&amp;TEXT(COUNTIF($G$3:G207,G207),"000"),IF(G207="PRODUKSI","PRO-"&amp;TEXT(COUNTIF($G$3:G207,G207),"000"),IF(G207="SURVEY","SUR-"&amp;TEXT(COUNTIF($G$3:G207,G207),"000"),"")))))))))))</f>
        <v>CIV-012</v>
      </c>
      <c r="I207" s="3"/>
      <c r="J207" s="3"/>
    </row>
    <row r="208" spans="2:10" ht="15.5">
      <c r="B208" s="4" t="s">
        <v>428</v>
      </c>
      <c r="C208" s="16" t="s">
        <v>240</v>
      </c>
      <c r="D208" s="46"/>
      <c r="E208" s="40" t="s">
        <v>14</v>
      </c>
      <c r="F208" s="32"/>
      <c r="G208" s="2" t="s">
        <v>402</v>
      </c>
      <c r="H208" s="2" t="str">
        <f>IF(G208="","",IF(G208="EKSPLORASI","EXP-"&amp;TEXT(COUNTIF($G$3:G208,G208),"000"),IF(G208="HSE","HSE-"&amp;TEXT(COUNTIF($G$3:G208,G208),"000"),IF(G208="QAQC","QAQC-"&amp;TEXT(COUNTIF($G$3:G208,G208),"000"),IF(G208="HCGA","HCGA-"&amp;TEXT(COUNTIF($G$3:G208,G208),"000"),IF(G208="MAINTENANCE","MNT-"&amp;TEXT(COUNTIF($G$3:G208,G208),"000"),IF(G208="CIVIL","CIV-"&amp;TEXT(COUNTIF($G$3:G208,G208),"000"),IF(G208="GANIS","GAN-"&amp;TEXT(COUNTIF($G$3:G208,G208),"000"),IF(G208="ENGINEERING","ENG-"&amp;TEXT(COUNTIF($G$3:G208,G208),"000"),IF(G208="PRODUKSI","PRO-"&amp;TEXT(COUNTIF($G$3:G208,G208),"000"),IF(G208="SURVEY","SUR-"&amp;TEXT(COUNTIF($G$3:G208,G208),"000"),"")))))))))))</f>
        <v>CIV-013</v>
      </c>
      <c r="I208" s="3"/>
      <c r="J208" s="3"/>
    </row>
    <row r="209" spans="2:10" ht="15.5">
      <c r="B209" s="4" t="s">
        <v>429</v>
      </c>
      <c r="C209" s="16" t="s">
        <v>422</v>
      </c>
      <c r="D209" s="46"/>
      <c r="E209" s="40" t="s">
        <v>14</v>
      </c>
      <c r="F209" s="32"/>
      <c r="G209" s="2" t="s">
        <v>402</v>
      </c>
      <c r="H209" s="2" t="str">
        <f>IF(G209="","",IF(G209="EKSPLORASI","EXP-"&amp;TEXT(COUNTIF($G$3:G209,G209),"000"),IF(G209="HSE","HSE-"&amp;TEXT(COUNTIF($G$3:G209,G209),"000"),IF(G209="QAQC","QAQC-"&amp;TEXT(COUNTIF($G$3:G209,G209),"000"),IF(G209="HCGA","HCGA-"&amp;TEXT(COUNTIF($G$3:G209,G209),"000"),IF(G209="MAINTENANCE","MNT-"&amp;TEXT(COUNTIF($G$3:G209,G209),"000"),IF(G209="CIVIL","CIV-"&amp;TEXT(COUNTIF($G$3:G209,G209),"000"),IF(G209="GANIS","GAN-"&amp;TEXT(COUNTIF($G$3:G209,G209),"000"),IF(G209="ENGINEERING","ENG-"&amp;TEXT(COUNTIF($G$3:G209,G209),"000"),IF(G209="PRODUKSI","PRO-"&amp;TEXT(COUNTIF($G$3:G209,G209),"000"),IF(G209="SURVEY","SUR-"&amp;TEXT(COUNTIF($G$3:G209,G209),"000"),"")))))))))))</f>
        <v>CIV-014</v>
      </c>
      <c r="I209" s="3"/>
      <c r="J209" s="3"/>
    </row>
    <row r="210" spans="2:10" ht="15.5">
      <c r="B210" s="4" t="s">
        <v>431</v>
      </c>
      <c r="C210" s="16" t="s">
        <v>424</v>
      </c>
      <c r="D210" s="46"/>
      <c r="E210" s="40" t="s">
        <v>425</v>
      </c>
      <c r="F210" s="32"/>
      <c r="G210" s="2" t="s">
        <v>402</v>
      </c>
      <c r="H210" s="2" t="str">
        <f>IF(G210="","",IF(G210="EKSPLORASI","EXP-"&amp;TEXT(COUNTIF($G$3:G210,G210),"000"),IF(G210="HSE","HSE-"&amp;TEXT(COUNTIF($G$3:G210,G210),"000"),IF(G210="QAQC","QAQC-"&amp;TEXT(COUNTIF($G$3:G210,G210),"000"),IF(G210="HCGA","HCGA-"&amp;TEXT(COUNTIF($G$3:G210,G210),"000"),IF(G210="MAINTENANCE","MNT-"&amp;TEXT(COUNTIF($G$3:G210,G210),"000"),IF(G210="CIVIL","CIV-"&amp;TEXT(COUNTIF($G$3:G210,G210),"000"),IF(G210="GANIS","GAN-"&amp;TEXT(COUNTIF($G$3:G210,G210),"000"),IF(G210="ENGINEERING","ENG-"&amp;TEXT(COUNTIF($G$3:G210,G210),"000"),IF(G210="PRODUKSI","PRO-"&amp;TEXT(COUNTIF($G$3:G210,G210),"000"),IF(G210="SURVEY","SUR-"&amp;TEXT(COUNTIF($G$3:G210,G210),"000"),"")))))))))))</f>
        <v>CIV-015</v>
      </c>
      <c r="I210" s="3"/>
      <c r="J210" s="3"/>
    </row>
    <row r="211" spans="2:10" ht="15.5">
      <c r="B211" s="4" t="s">
        <v>432</v>
      </c>
      <c r="C211" s="16" t="s">
        <v>427</v>
      </c>
      <c r="D211" s="46"/>
      <c r="E211" s="40" t="s">
        <v>257</v>
      </c>
      <c r="F211" s="32"/>
      <c r="G211" s="2" t="s">
        <v>402</v>
      </c>
      <c r="H211" s="2" t="str">
        <f>IF(G211="","",IF(G211="EKSPLORASI","EXP-"&amp;TEXT(COUNTIF($G$3:G211,G211),"000"),IF(G211="HSE","HSE-"&amp;TEXT(COUNTIF($G$3:G211,G211),"000"),IF(G211="QAQC","QAQC-"&amp;TEXT(COUNTIF($G$3:G211,G211),"000"),IF(G211="HCGA","HCGA-"&amp;TEXT(COUNTIF($G$3:G211,G211),"000"),IF(G211="MAINTENANCE","MNT-"&amp;TEXT(COUNTIF($G$3:G211,G211),"000"),IF(G211="CIVIL","CIV-"&amp;TEXT(COUNTIF($G$3:G211,G211),"000"),IF(G211="GANIS","GAN-"&amp;TEXT(COUNTIF($G$3:G211,G211),"000"),IF(G211="ENGINEERING","ENG-"&amp;TEXT(COUNTIF($G$3:G211,G211),"000"),IF(G211="PRODUKSI","PRO-"&amp;TEXT(COUNTIF($G$3:G211,G211),"000"),IF(G211="SURVEY","SUR-"&amp;TEXT(COUNTIF($G$3:G211,G211),"000"),"")))))))))))</f>
        <v>CIV-016</v>
      </c>
      <c r="I211" s="3"/>
      <c r="J211" s="3"/>
    </row>
    <row r="212" spans="2:10" ht="15.5">
      <c r="B212" s="4" t="s">
        <v>433</v>
      </c>
      <c r="C212" s="16" t="s">
        <v>285</v>
      </c>
      <c r="D212" s="46">
        <v>20000</v>
      </c>
      <c r="E212" s="40" t="s">
        <v>74</v>
      </c>
      <c r="F212" s="34" t="s">
        <v>1089</v>
      </c>
      <c r="G212" s="2" t="s">
        <v>402</v>
      </c>
      <c r="H212" s="2" t="str">
        <f>IF(G212="","",IF(G212="EKSPLORASI","EXP-"&amp;TEXT(COUNTIF($G$3:G212,G212),"000"),IF(G212="HSE","HSE-"&amp;TEXT(COUNTIF($G$3:G212,G212),"000"),IF(G212="QAQC","QAQC-"&amp;TEXT(COUNTIF($G$3:G212,G212),"000"),IF(G212="HCGA","HCGA-"&amp;TEXT(COUNTIF($G$3:G212,G212),"000"),IF(G212="MAINTENANCE","MNT-"&amp;TEXT(COUNTIF($G$3:G212,G212),"000"),IF(G212="CIVIL","CIV-"&amp;TEXT(COUNTIF($G$3:G212,G212),"000"),IF(G212="GANIS","GAN-"&amp;TEXT(COUNTIF($G$3:G212,G212),"000"),IF(G212="ENGINEERING","ENG-"&amp;TEXT(COUNTIF($G$3:G212,G212),"000"),IF(G212="PRODUKSI","PRO-"&amp;TEXT(COUNTIF($G$3:G212,G212),"000"),IF(G212="SURVEY","SUR-"&amp;TEXT(COUNTIF($G$3:G212,G212),"000"),"")))))))))))</f>
        <v>CIV-017</v>
      </c>
      <c r="I212" s="3"/>
      <c r="J212" s="3"/>
    </row>
    <row r="213" spans="2:10" ht="15.5">
      <c r="B213" s="4" t="s">
        <v>435</v>
      </c>
      <c r="C213" s="16" t="s">
        <v>320</v>
      </c>
      <c r="D213" s="46"/>
      <c r="E213" s="40" t="s">
        <v>430</v>
      </c>
      <c r="F213" s="32"/>
      <c r="G213" s="2" t="s">
        <v>402</v>
      </c>
      <c r="H213" s="2" t="str">
        <f>IF(G213="","",IF(G213="EKSPLORASI","EXP-"&amp;TEXT(COUNTIF($G$3:G213,G213),"000"),IF(G213="HSE","HSE-"&amp;TEXT(COUNTIF($G$3:G213,G213),"000"),IF(G213="QAQC","QAQC-"&amp;TEXT(COUNTIF($G$3:G213,G213),"000"),IF(G213="HCGA","HCGA-"&amp;TEXT(COUNTIF($G$3:G213,G213),"000"),IF(G213="MAINTENANCE","MNT-"&amp;TEXT(COUNTIF($G$3:G213,G213),"000"),IF(G213="CIVIL","CIV-"&amp;TEXT(COUNTIF($G$3:G213,G213),"000"),IF(G213="GANIS","GAN-"&amp;TEXT(COUNTIF($G$3:G213,G213),"000"),IF(G213="ENGINEERING","ENG-"&amp;TEXT(COUNTIF($G$3:G213,G213),"000"),IF(G213="PRODUKSI","PRO-"&amp;TEXT(COUNTIF($G$3:G213,G213),"000"),IF(G213="SURVEY","SUR-"&amp;TEXT(COUNTIF($G$3:G213,G213),"000"),"")))))))))))</f>
        <v>CIV-018</v>
      </c>
      <c r="I213" s="3"/>
      <c r="J213" s="3"/>
    </row>
    <row r="214" spans="2:10" ht="15.5">
      <c r="B214" s="4" t="s">
        <v>437</v>
      </c>
      <c r="C214" s="16" t="s">
        <v>291</v>
      </c>
      <c r="D214" s="46">
        <v>90000</v>
      </c>
      <c r="E214" s="40" t="s">
        <v>132</v>
      </c>
      <c r="F214" s="32"/>
      <c r="G214" s="2" t="s">
        <v>402</v>
      </c>
      <c r="H214" s="2" t="str">
        <f>IF(G214="","",IF(G214="EKSPLORASI","EXP-"&amp;TEXT(COUNTIF($G$3:G214,G214),"000"),IF(G214="HSE","HSE-"&amp;TEXT(COUNTIF($G$3:G214,G214),"000"),IF(G214="QAQC","QAQC-"&amp;TEXT(COUNTIF($G$3:G214,G214),"000"),IF(G214="HCGA","HCGA-"&amp;TEXT(COUNTIF($G$3:G214,G214),"000"),IF(G214="MAINTENANCE","MNT-"&amp;TEXT(COUNTIF($G$3:G214,G214),"000"),IF(G214="CIVIL","CIV-"&amp;TEXT(COUNTIF($G$3:G214,G214),"000"),IF(G214="GANIS","GAN-"&amp;TEXT(COUNTIF($G$3:G214,G214),"000"),IF(G214="ENGINEERING","ENG-"&amp;TEXT(COUNTIF($G$3:G214,G214),"000"),IF(G214="PRODUKSI","PRO-"&amp;TEXT(COUNTIF($G$3:G214,G214),"000"),IF(G214="SURVEY","SUR-"&amp;TEXT(COUNTIF($G$3:G214,G214),"000"),"")))))))))))</f>
        <v>CIV-019</v>
      </c>
      <c r="I214" s="3"/>
      <c r="J214" s="3"/>
    </row>
    <row r="215" spans="2:10" ht="15.5">
      <c r="B215" s="4" t="s">
        <v>439</v>
      </c>
      <c r="C215" s="16" t="s">
        <v>289</v>
      </c>
      <c r="D215" s="46">
        <v>20000</v>
      </c>
      <c r="E215" s="40" t="s">
        <v>74</v>
      </c>
      <c r="F215" s="34" t="s">
        <v>1089</v>
      </c>
      <c r="G215" s="2" t="s">
        <v>402</v>
      </c>
      <c r="H215" s="2" t="str">
        <f>IF(G215="","",IF(G215="EKSPLORASI","EXP-"&amp;TEXT(COUNTIF($G$3:G215,G215),"000"),IF(G215="HSE","HSE-"&amp;TEXT(COUNTIF($G$3:G215,G215),"000"),IF(G215="QAQC","QAQC-"&amp;TEXT(COUNTIF($G$3:G215,G215),"000"),IF(G215="HCGA","HCGA-"&amp;TEXT(COUNTIF($G$3:G215,G215),"000"),IF(G215="MAINTENANCE","MNT-"&amp;TEXT(COUNTIF($G$3:G215,G215),"000"),IF(G215="CIVIL","CIV-"&amp;TEXT(COUNTIF($G$3:G215,G215),"000"),IF(G215="GANIS","GAN-"&amp;TEXT(COUNTIF($G$3:G215,G215),"000"),IF(G215="ENGINEERING","ENG-"&amp;TEXT(COUNTIF($G$3:G215,G215),"000"),IF(G215="PRODUKSI","PRO-"&amp;TEXT(COUNTIF($G$3:G215,G215),"000"),IF(G215="SURVEY","SUR-"&amp;TEXT(COUNTIF($G$3:G215,G215),"000"),"")))))))))))</f>
        <v>CIV-020</v>
      </c>
      <c r="I215" s="3"/>
      <c r="J215" s="3"/>
    </row>
    <row r="216" spans="2:10" ht="15.5">
      <c r="B216" s="4" t="s">
        <v>441</v>
      </c>
      <c r="C216" s="16" t="s">
        <v>434</v>
      </c>
      <c r="D216" s="46"/>
      <c r="E216" s="40" t="s">
        <v>14</v>
      </c>
      <c r="F216" s="32"/>
      <c r="G216" s="2" t="s">
        <v>402</v>
      </c>
      <c r="H216" s="2" t="str">
        <f>IF(G216="","",IF(G216="EKSPLORASI","EXP-"&amp;TEXT(COUNTIF($G$3:G216,G216),"000"),IF(G216="HSE","HSE-"&amp;TEXT(COUNTIF($G$3:G216,G216),"000"),IF(G216="QAQC","QAQC-"&amp;TEXT(COUNTIF($G$3:G216,G216),"000"),IF(G216="HCGA","HCGA-"&amp;TEXT(COUNTIF($G$3:G216,G216),"000"),IF(G216="MAINTENANCE","MNT-"&amp;TEXT(COUNTIF($G$3:G216,G216),"000"),IF(G216="CIVIL","CIV-"&amp;TEXT(COUNTIF($G$3:G216,G216),"000"),IF(G216="GANIS","GAN-"&amp;TEXT(COUNTIF($G$3:G216,G216),"000"),IF(G216="ENGINEERING","ENG-"&amp;TEXT(COUNTIF($G$3:G216,G216),"000"),IF(G216="PRODUKSI","PRO-"&amp;TEXT(COUNTIF($G$3:G216,G216),"000"),IF(G216="SURVEY","SUR-"&amp;TEXT(COUNTIF($G$3:G216,G216),"000"),"")))))))))))</f>
        <v>CIV-021</v>
      </c>
      <c r="I216" s="3"/>
      <c r="J216" s="3"/>
    </row>
    <row r="217" spans="2:10" ht="15.5">
      <c r="B217" s="4" t="s">
        <v>443</v>
      </c>
      <c r="C217" s="11" t="s">
        <v>306</v>
      </c>
      <c r="D217" s="47">
        <v>5000</v>
      </c>
      <c r="E217" s="40" t="s">
        <v>25</v>
      </c>
      <c r="F217" s="39"/>
      <c r="G217" s="12" t="s">
        <v>232</v>
      </c>
      <c r="H217" s="2" t="str">
        <f>IF(G217="","",IF(G217="EKSPLORASI","EXP-"&amp;TEXT(COUNTIF($G$3:G217,G217),"000"),IF(G217="HSE","HSE-"&amp;TEXT(COUNTIF($G$3:G217,G217),"000"),IF(G217="QAQC","QAQC-"&amp;TEXT(COUNTIF($G$3:G217,G217),"000"),IF(G217="HCGA","HCGA-"&amp;TEXT(COUNTIF($G$3:G217,G217),"000"),IF(G217="MAINTENANCE","MNT-"&amp;TEXT(COUNTIF($G$3:G217,G217),"000"),IF(G217="CIVIL","CIV-"&amp;TEXT(COUNTIF($G$3:G217,G217),"000"),IF(G217="GANIS","GAN-"&amp;TEXT(COUNTIF($G$3:G217,G217),"000"),IF(G217="ENGINEERING","ENG-"&amp;TEXT(COUNTIF($G$3:G217,G217),"000"),IF(G217="PRODUKSI","PRO-"&amp;TEXT(COUNTIF($G$3:G217,G217),"000"),IF(G217="SURVEY","SUR-"&amp;TEXT(COUNTIF($G$3:G217,G217),"000"),"")))))))))))</f>
        <v>QAQC-087</v>
      </c>
      <c r="I217" s="2"/>
      <c r="J217" s="2"/>
    </row>
    <row r="218" spans="2:10" ht="15.5">
      <c r="B218" s="4" t="s">
        <v>445</v>
      </c>
      <c r="C218" s="16" t="s">
        <v>438</v>
      </c>
      <c r="D218" s="48">
        <v>30000</v>
      </c>
      <c r="E218" s="40" t="s">
        <v>14</v>
      </c>
      <c r="F218" s="32"/>
      <c r="G218" s="2" t="s">
        <v>402</v>
      </c>
      <c r="H218" s="2" t="str">
        <f>IF(G218="","",IF(G218="EKSPLORASI","EXP-"&amp;TEXT(COUNTIF($G$3:G218,G218),"000"),IF(G218="HSE","HSE-"&amp;TEXT(COUNTIF($G$3:G218,G218),"000"),IF(G218="QAQC","QAQC-"&amp;TEXT(COUNTIF($G$3:G218,G218),"000"),IF(G218="HCGA","HCGA-"&amp;TEXT(COUNTIF($G$3:G218,G218),"000"),IF(G218="MAINTENANCE","MNT-"&amp;TEXT(COUNTIF($G$3:G218,G218),"000"),IF(G218="CIVIL","CIV-"&amp;TEXT(COUNTIF($G$3:G218,G218),"000"),IF(G218="GANIS","GAN-"&amp;TEXT(COUNTIF($G$3:G218,G218),"000"),IF(G218="ENGINEERING","ENG-"&amp;TEXT(COUNTIF($G$3:G218,G218),"000"),IF(G218="PRODUKSI","PRO-"&amp;TEXT(COUNTIF($G$3:G218,G218),"000"),IF(G218="SURVEY","SUR-"&amp;TEXT(COUNTIF($G$3:G218,G218),"000"),"")))))))))))</f>
        <v>CIV-022</v>
      </c>
      <c r="I218" s="3"/>
      <c r="J218" s="3"/>
    </row>
    <row r="219" spans="2:10" ht="15.5">
      <c r="B219" s="4" t="s">
        <v>447</v>
      </c>
      <c r="C219" s="16" t="s">
        <v>440</v>
      </c>
      <c r="D219" s="46"/>
      <c r="E219" s="40" t="s">
        <v>14</v>
      </c>
      <c r="F219" s="32"/>
      <c r="G219" s="2" t="s">
        <v>402</v>
      </c>
      <c r="H219" s="2" t="str">
        <f>IF(G219="","",IF(G219="EKSPLORASI","EXP-"&amp;TEXT(COUNTIF($G$3:G219,G219),"000"),IF(G219="HSE","HSE-"&amp;TEXT(COUNTIF($G$3:G219,G219),"000"),IF(G219="QAQC","QAQC-"&amp;TEXT(COUNTIF($G$3:G219,G219),"000"),IF(G219="HCGA","HCGA-"&amp;TEXT(COUNTIF($G$3:G219,G219),"000"),IF(G219="MAINTENANCE","MNT-"&amp;TEXT(COUNTIF($G$3:G219,G219),"000"),IF(G219="CIVIL","CIV-"&amp;TEXT(COUNTIF($G$3:G219,G219),"000"),IF(G219="GANIS","GAN-"&amp;TEXT(COUNTIF($G$3:G219,G219),"000"),IF(G219="ENGINEERING","ENG-"&amp;TEXT(COUNTIF($G$3:G219,G219),"000"),IF(G219="PRODUKSI","PRO-"&amp;TEXT(COUNTIF($G$3:G219,G219),"000"),IF(G219="SURVEY","SUR-"&amp;TEXT(COUNTIF($G$3:G219,G219),"000"),"")))))))))))</f>
        <v>CIV-023</v>
      </c>
      <c r="I219" s="3"/>
      <c r="J219" s="3"/>
    </row>
    <row r="220" spans="2:10" ht="15.5">
      <c r="B220" s="4" t="s">
        <v>449</v>
      </c>
      <c r="C220" s="16" t="s">
        <v>442</v>
      </c>
      <c r="D220" s="46"/>
      <c r="E220" s="40" t="s">
        <v>25</v>
      </c>
      <c r="F220" s="32"/>
      <c r="G220" s="2" t="s">
        <v>402</v>
      </c>
      <c r="H220" s="2" t="str">
        <f>IF(G220="","",IF(G220="EKSPLORASI","EXP-"&amp;TEXT(COUNTIF($G$3:G220,G220),"000"),IF(G220="HSE","HSE-"&amp;TEXT(COUNTIF($G$3:G220,G220),"000"),IF(G220="QAQC","QAQC-"&amp;TEXT(COUNTIF($G$3:G220,G220),"000"),IF(G220="HCGA","HCGA-"&amp;TEXT(COUNTIF($G$3:G220,G220),"000"),IF(G220="MAINTENANCE","MNT-"&amp;TEXT(COUNTIF($G$3:G220,G220),"000"),IF(G220="CIVIL","CIV-"&amp;TEXT(COUNTIF($G$3:G220,G220),"000"),IF(G220="GANIS","GAN-"&amp;TEXT(COUNTIF($G$3:G220,G220),"000"),IF(G220="ENGINEERING","ENG-"&amp;TEXT(COUNTIF($G$3:G220,G220),"000"),IF(G220="PRODUKSI","PRO-"&amp;TEXT(COUNTIF($G$3:G220,G220),"000"),IF(G220="SURVEY","SUR-"&amp;TEXT(COUNTIF($G$3:G220,G220),"000"),"")))))))))))</f>
        <v>CIV-024</v>
      </c>
      <c r="I220" s="3"/>
      <c r="J220" s="3"/>
    </row>
    <row r="221" spans="2:10" ht="15.5">
      <c r="B221" s="4" t="s">
        <v>451</v>
      </c>
      <c r="C221" s="16" t="s">
        <v>444</v>
      </c>
      <c r="D221" s="46"/>
      <c r="E221" s="40" t="s">
        <v>14</v>
      </c>
      <c r="F221" s="32"/>
      <c r="G221" s="2" t="s">
        <v>402</v>
      </c>
      <c r="H221" s="2" t="str">
        <f>IF(G221="","",IF(G221="EKSPLORASI","EXP-"&amp;TEXT(COUNTIF($G$3:G221,G221),"000"),IF(G221="HSE","HSE-"&amp;TEXT(COUNTIF($G$3:G221,G221),"000"),IF(G221="QAQC","QAQC-"&amp;TEXT(COUNTIF($G$3:G221,G221),"000"),IF(G221="HCGA","HCGA-"&amp;TEXT(COUNTIF($G$3:G221,G221),"000"),IF(G221="MAINTENANCE","MNT-"&amp;TEXT(COUNTIF($G$3:G221,G221),"000"),IF(G221="CIVIL","CIV-"&amp;TEXT(COUNTIF($G$3:G221,G221),"000"),IF(G221="GANIS","GAN-"&amp;TEXT(COUNTIF($G$3:G221,G221),"000"),IF(G221="ENGINEERING","ENG-"&amp;TEXT(COUNTIF($G$3:G221,G221),"000"),IF(G221="PRODUKSI","PRO-"&amp;TEXT(COUNTIF($G$3:G221,G221),"000"),IF(G221="SURVEY","SUR-"&amp;TEXT(COUNTIF($G$3:G221,G221),"000"),"")))))))))))</f>
        <v>CIV-025</v>
      </c>
      <c r="I221" s="3"/>
      <c r="J221" s="3"/>
    </row>
    <row r="222" spans="2:10" ht="15.5">
      <c r="B222" s="4" t="s">
        <v>453</v>
      </c>
      <c r="C222" s="16" t="s">
        <v>446</v>
      </c>
      <c r="D222" s="46">
        <v>35000</v>
      </c>
      <c r="E222" s="40" t="s">
        <v>139</v>
      </c>
      <c r="F222" s="32"/>
      <c r="G222" s="2" t="s">
        <v>402</v>
      </c>
      <c r="H222" s="2" t="str">
        <f>IF(G222="","",IF(G222="EKSPLORASI","EXP-"&amp;TEXT(COUNTIF($G$3:G222,G222),"000"),IF(G222="HSE","HSE-"&amp;TEXT(COUNTIF($G$3:G222,G222),"000"),IF(G222="QAQC","QAQC-"&amp;TEXT(COUNTIF($G$3:G222,G222),"000"),IF(G222="HCGA","HCGA-"&amp;TEXT(COUNTIF($G$3:G222,G222),"000"),IF(G222="MAINTENANCE","MNT-"&amp;TEXT(COUNTIF($G$3:G222,G222),"000"),IF(G222="CIVIL","CIV-"&amp;TEXT(COUNTIF($G$3:G222,G222),"000"),IF(G222="GANIS","GAN-"&amp;TEXT(COUNTIF($G$3:G222,G222),"000"),IF(G222="ENGINEERING","ENG-"&amp;TEXT(COUNTIF($G$3:G222,G222),"000"),IF(G222="PRODUKSI","PRO-"&amp;TEXT(COUNTIF($G$3:G222,G222),"000"),IF(G222="SURVEY","SUR-"&amp;TEXT(COUNTIF($G$3:G222,G222),"000"),"")))))))))))</f>
        <v>CIV-026</v>
      </c>
      <c r="I222" s="3"/>
      <c r="J222" s="3"/>
    </row>
    <row r="223" spans="2:10" ht="15.5">
      <c r="B223" s="4" t="s">
        <v>455</v>
      </c>
      <c r="C223" s="16" t="s">
        <v>448</v>
      </c>
      <c r="D223" s="46"/>
      <c r="E223" s="40" t="s">
        <v>377</v>
      </c>
      <c r="F223" s="32"/>
      <c r="G223" s="2" t="s">
        <v>402</v>
      </c>
      <c r="H223" s="2" t="str">
        <f>IF(G223="","",IF(G223="EKSPLORASI","EXP-"&amp;TEXT(COUNTIF($G$3:G223,G223),"000"),IF(G223="HSE","HSE-"&amp;TEXT(COUNTIF($G$3:G223,G223),"000"),IF(G223="QAQC","QAQC-"&amp;TEXT(COUNTIF($G$3:G223,G223),"000"),IF(G223="HCGA","HCGA-"&amp;TEXT(COUNTIF($G$3:G223,G223),"000"),IF(G223="MAINTENANCE","MNT-"&amp;TEXT(COUNTIF($G$3:G223,G223),"000"),IF(G223="CIVIL","CIV-"&amp;TEXT(COUNTIF($G$3:G223,G223),"000"),IF(G223="GANIS","GAN-"&amp;TEXT(COUNTIF($G$3:G223,G223),"000"),IF(G223="ENGINEERING","ENG-"&amp;TEXT(COUNTIF($G$3:G223,G223),"000"),IF(G223="PRODUKSI","PRO-"&amp;TEXT(COUNTIF($G$3:G223,G223),"000"),IF(G223="SURVEY","SUR-"&amp;TEXT(COUNTIF($G$3:G223,G223),"000"),"")))))))))))</f>
        <v>CIV-027</v>
      </c>
      <c r="I223" s="3"/>
      <c r="J223" s="3"/>
    </row>
    <row r="224" spans="2:10" ht="15.5">
      <c r="B224" s="4" t="s">
        <v>457</v>
      </c>
      <c r="C224" s="16" t="s">
        <v>450</v>
      </c>
      <c r="D224" s="46">
        <v>45000</v>
      </c>
      <c r="E224" s="40" t="s">
        <v>14</v>
      </c>
      <c r="F224" s="45" t="s">
        <v>1098</v>
      </c>
      <c r="G224" s="2" t="s">
        <v>402</v>
      </c>
      <c r="H224" s="2" t="str">
        <f>IF(G224="","",IF(G224="EKSPLORASI","EXP-"&amp;TEXT(COUNTIF($G$3:G224,G224),"000"),IF(G224="HSE","HSE-"&amp;TEXT(COUNTIF($G$3:G224,G224),"000"),IF(G224="QAQC","QAQC-"&amp;TEXT(COUNTIF($G$3:G224,G224),"000"),IF(G224="HCGA","HCGA-"&amp;TEXT(COUNTIF($G$3:G224,G224),"000"),IF(G224="MAINTENANCE","MNT-"&amp;TEXT(COUNTIF($G$3:G224,G224),"000"),IF(G224="CIVIL","CIV-"&amp;TEXT(COUNTIF($G$3:G224,G224),"000"),IF(G224="GANIS","GAN-"&amp;TEXT(COUNTIF($G$3:G224,G224),"000"),IF(G224="ENGINEERING","ENG-"&amp;TEXT(COUNTIF($G$3:G224,G224),"000"),IF(G224="PRODUKSI","PRO-"&amp;TEXT(COUNTIF($G$3:G224,G224),"000"),IF(G224="SURVEY","SUR-"&amp;TEXT(COUNTIF($G$3:G224,G224),"000"),"")))))))))))</f>
        <v>CIV-028</v>
      </c>
      <c r="I224" s="3"/>
      <c r="J224" s="3"/>
    </row>
    <row r="225" spans="2:10" ht="15.5">
      <c r="B225" s="4" t="s">
        <v>459</v>
      </c>
      <c r="C225" s="16" t="s">
        <v>452</v>
      </c>
      <c r="D225" s="46">
        <v>140000</v>
      </c>
      <c r="E225" s="40" t="s">
        <v>14</v>
      </c>
      <c r="F225" s="45" t="s">
        <v>1100</v>
      </c>
      <c r="G225" s="2" t="s">
        <v>402</v>
      </c>
      <c r="H225" s="2" t="str">
        <f>IF(G225="","",IF(G225="EKSPLORASI","EXP-"&amp;TEXT(COUNTIF($G$3:G225,G225),"000"),IF(G225="HSE","HSE-"&amp;TEXT(COUNTIF($G$3:G225,G225),"000"),IF(G225="QAQC","QAQC-"&amp;TEXT(COUNTIF($G$3:G225,G225),"000"),IF(G225="HCGA","HCGA-"&amp;TEXT(COUNTIF($G$3:G225,G225),"000"),IF(G225="MAINTENANCE","MNT-"&amp;TEXT(COUNTIF($G$3:G225,G225),"000"),IF(G225="CIVIL","CIV-"&amp;TEXT(COUNTIF($G$3:G225,G225),"000"),IF(G225="GANIS","GAN-"&amp;TEXT(COUNTIF($G$3:G225,G225),"000"),IF(G225="ENGINEERING","ENG-"&amp;TEXT(COUNTIF($G$3:G225,G225),"000"),IF(G225="PRODUKSI","PRO-"&amp;TEXT(COUNTIF($G$3:G225,G225),"000"),IF(G225="SURVEY","SUR-"&amp;TEXT(COUNTIF($G$3:G225,G225),"000"),"")))))))))))</f>
        <v>CIV-029</v>
      </c>
      <c r="I225" s="3"/>
      <c r="J225" s="3"/>
    </row>
    <row r="226" spans="2:10" ht="15.5">
      <c r="B226" s="4" t="s">
        <v>461</v>
      </c>
      <c r="C226" s="16" t="s">
        <v>454</v>
      </c>
      <c r="D226" s="46"/>
      <c r="E226" s="40" t="s">
        <v>14</v>
      </c>
      <c r="F226" s="32"/>
      <c r="G226" s="2" t="s">
        <v>402</v>
      </c>
      <c r="H226" s="2" t="str">
        <f>IF(G226="","",IF(G226="EKSPLORASI","EXP-"&amp;TEXT(COUNTIF($G$3:G226,G226),"000"),IF(G226="HSE","HSE-"&amp;TEXT(COUNTIF($G$3:G226,G226),"000"),IF(G226="QAQC","QAQC-"&amp;TEXT(COUNTIF($G$3:G226,G226),"000"),IF(G226="HCGA","HCGA-"&amp;TEXT(COUNTIF($G$3:G226,G226),"000"),IF(G226="MAINTENANCE","MNT-"&amp;TEXT(COUNTIF($G$3:G226,G226),"000"),IF(G226="CIVIL","CIV-"&amp;TEXT(COUNTIF($G$3:G226,G226),"000"),IF(G226="GANIS","GAN-"&amp;TEXT(COUNTIF($G$3:G226,G226),"000"),IF(G226="ENGINEERING","ENG-"&amp;TEXT(COUNTIF($G$3:G226,G226),"000"),IF(G226="PRODUKSI","PRO-"&amp;TEXT(COUNTIF($G$3:G226,G226),"000"),IF(G226="SURVEY","SUR-"&amp;TEXT(COUNTIF($G$3:G226,G226),"000"),"")))))))))))</f>
        <v>CIV-030</v>
      </c>
      <c r="I226" s="3"/>
      <c r="J226" s="3"/>
    </row>
    <row r="227" spans="2:10" ht="15.5">
      <c r="B227" s="4" t="s">
        <v>463</v>
      </c>
      <c r="C227" s="16" t="s">
        <v>456</v>
      </c>
      <c r="D227" s="46"/>
      <c r="E227" s="40" t="s">
        <v>43</v>
      </c>
      <c r="F227" s="32"/>
      <c r="G227" s="2" t="s">
        <v>402</v>
      </c>
      <c r="H227" s="2" t="str">
        <f>IF(G227="","",IF(G227="EKSPLORASI","EXP-"&amp;TEXT(COUNTIF($G$3:G227,G227),"000"),IF(G227="HSE","HSE-"&amp;TEXT(COUNTIF($G$3:G227,G227),"000"),IF(G227="QAQC","QAQC-"&amp;TEXT(COUNTIF($G$3:G227,G227),"000"),IF(G227="HCGA","HCGA-"&amp;TEXT(COUNTIF($G$3:G227,G227),"000"),IF(G227="MAINTENANCE","MNT-"&amp;TEXT(COUNTIF($G$3:G227,G227),"000"),IF(G227="CIVIL","CIV-"&amp;TEXT(COUNTIF($G$3:G227,G227),"000"),IF(G227="GANIS","GAN-"&amp;TEXT(COUNTIF($G$3:G227,G227),"000"),IF(G227="ENGINEERING","ENG-"&amp;TEXT(COUNTIF($G$3:G227,G227),"000"),IF(G227="PRODUKSI","PRO-"&amp;TEXT(COUNTIF($G$3:G227,G227),"000"),IF(G227="SURVEY","SUR-"&amp;TEXT(COUNTIF($G$3:G227,G227),"000"),"")))))))))))</f>
        <v>CIV-031</v>
      </c>
      <c r="I227" s="3"/>
      <c r="J227" s="3"/>
    </row>
    <row r="228" spans="2:10" ht="15.5">
      <c r="B228" s="4" t="s">
        <v>465</v>
      </c>
      <c r="C228" s="16" t="s">
        <v>458</v>
      </c>
      <c r="D228" s="46"/>
      <c r="E228" s="40" t="s">
        <v>139</v>
      </c>
      <c r="F228" s="32"/>
      <c r="G228" s="2" t="s">
        <v>402</v>
      </c>
      <c r="H228" s="2" t="str">
        <f>IF(G228="","",IF(G228="EKSPLORASI","EXP-"&amp;TEXT(COUNTIF($G$3:G228,G228),"000"),IF(G228="HSE","HSE-"&amp;TEXT(COUNTIF($G$3:G228,G228),"000"),IF(G228="QAQC","QAQC-"&amp;TEXT(COUNTIF($G$3:G228,G228),"000"),IF(G228="HCGA","HCGA-"&amp;TEXT(COUNTIF($G$3:G228,G228),"000"),IF(G228="MAINTENANCE","MNT-"&amp;TEXT(COUNTIF($G$3:G228,G228),"000"),IF(G228="CIVIL","CIV-"&amp;TEXT(COUNTIF($G$3:G228,G228),"000"),IF(G228="GANIS","GAN-"&amp;TEXT(COUNTIF($G$3:G228,G228),"000"),IF(G228="ENGINEERING","ENG-"&amp;TEXT(COUNTIF($G$3:G228,G228),"000"),IF(G228="PRODUKSI","PRO-"&amp;TEXT(COUNTIF($G$3:G228,G228),"000"),IF(G228="SURVEY","SUR-"&amp;TEXT(COUNTIF($G$3:G228,G228),"000"),"")))))))))))</f>
        <v>CIV-032</v>
      </c>
      <c r="I228" s="3"/>
      <c r="J228" s="3"/>
    </row>
    <row r="229" spans="2:10" ht="15.5">
      <c r="B229" s="4" t="s">
        <v>467</v>
      </c>
      <c r="C229" s="16" t="s">
        <v>460</v>
      </c>
      <c r="D229" s="46"/>
      <c r="E229" s="40" t="s">
        <v>14</v>
      </c>
      <c r="F229" s="32"/>
      <c r="G229" s="2" t="s">
        <v>402</v>
      </c>
      <c r="H229" s="2" t="str">
        <f>IF(G229="","",IF(G229="EKSPLORASI","EXP-"&amp;TEXT(COUNTIF($G$3:G229,G229),"000"),IF(G229="HSE","HSE-"&amp;TEXT(COUNTIF($G$3:G229,G229),"000"),IF(G229="QAQC","QAQC-"&amp;TEXT(COUNTIF($G$3:G229,G229),"000"),IF(G229="HCGA","HCGA-"&amp;TEXT(COUNTIF($G$3:G229,G229),"000"),IF(G229="MAINTENANCE","MNT-"&amp;TEXT(COUNTIF($G$3:G229,G229),"000"),IF(G229="CIVIL","CIV-"&amp;TEXT(COUNTIF($G$3:G229,G229),"000"),IF(G229="GANIS","GAN-"&amp;TEXT(COUNTIF($G$3:G229,G229),"000"),IF(G229="ENGINEERING","ENG-"&amp;TEXT(COUNTIF($G$3:G229,G229),"000"),IF(G229="PRODUKSI","PRO-"&amp;TEXT(COUNTIF($G$3:G229,G229),"000"),IF(G229="SURVEY","SUR-"&amp;TEXT(COUNTIF($G$3:G229,G229),"000"),"")))))))))))</f>
        <v>CIV-033</v>
      </c>
      <c r="I229" s="3"/>
      <c r="J229" s="3"/>
    </row>
    <row r="230" spans="2:10" ht="15.5">
      <c r="B230" s="4" t="s">
        <v>469</v>
      </c>
      <c r="C230" s="16" t="s">
        <v>462</v>
      </c>
      <c r="D230" s="46"/>
      <c r="E230" s="40" t="s">
        <v>46</v>
      </c>
      <c r="F230" s="32"/>
      <c r="G230" s="2" t="s">
        <v>402</v>
      </c>
      <c r="H230" s="2" t="str">
        <f>IF(G230="","",IF(G230="EKSPLORASI","EXP-"&amp;TEXT(COUNTIF($G$3:G230,G230),"000"),IF(G230="HSE","HSE-"&amp;TEXT(COUNTIF($G$3:G230,G230),"000"),IF(G230="QAQC","QAQC-"&amp;TEXT(COUNTIF($G$3:G230,G230),"000"),IF(G230="HCGA","HCGA-"&amp;TEXT(COUNTIF($G$3:G230,G230),"000"),IF(G230="MAINTENANCE","MNT-"&amp;TEXT(COUNTIF($G$3:G230,G230),"000"),IF(G230="CIVIL","CIV-"&amp;TEXT(COUNTIF($G$3:G230,G230),"000"),IF(G230="GANIS","GAN-"&amp;TEXT(COUNTIF($G$3:G230,G230),"000"),IF(G230="ENGINEERING","ENG-"&amp;TEXT(COUNTIF($G$3:G230,G230),"000"),IF(G230="PRODUKSI","PRO-"&amp;TEXT(COUNTIF($G$3:G230,G230),"000"),IF(G230="SURVEY","SUR-"&amp;TEXT(COUNTIF($G$3:G230,G230),"000"),"")))))))))))</f>
        <v>CIV-034</v>
      </c>
      <c r="I230" s="3"/>
      <c r="J230" s="3"/>
    </row>
    <row r="231" spans="2:10" ht="15.5">
      <c r="B231" s="4" t="s">
        <v>470</v>
      </c>
      <c r="C231" s="16" t="s">
        <v>464</v>
      </c>
      <c r="D231" s="46"/>
      <c r="E231" s="40" t="s">
        <v>25</v>
      </c>
      <c r="F231" s="32"/>
      <c r="G231" s="2" t="s">
        <v>402</v>
      </c>
      <c r="H231" s="2" t="str">
        <f>IF(G231="","",IF(G231="EKSPLORASI","EXP-"&amp;TEXT(COUNTIF($G$3:G231,G231),"000"),IF(G231="HSE","HSE-"&amp;TEXT(COUNTIF($G$3:G231,G231),"000"),IF(G231="QAQC","QAQC-"&amp;TEXT(COUNTIF($G$3:G231,G231),"000"),IF(G231="HCGA","HCGA-"&amp;TEXT(COUNTIF($G$3:G231,G231),"000"),IF(G231="MAINTENANCE","MNT-"&amp;TEXT(COUNTIF($G$3:G231,G231),"000"),IF(G231="CIVIL","CIV-"&amp;TEXT(COUNTIF($G$3:G231,G231),"000"),IF(G231="GANIS","GAN-"&amp;TEXT(COUNTIF($G$3:G231,G231),"000"),IF(G231="ENGINEERING","ENG-"&amp;TEXT(COUNTIF($G$3:G231,G231),"000"),IF(G231="PRODUKSI","PRO-"&amp;TEXT(COUNTIF($G$3:G231,G231),"000"),IF(G231="SURVEY","SUR-"&amp;TEXT(COUNTIF($G$3:G231,G231),"000"),"")))))))))))</f>
        <v>CIV-035</v>
      </c>
      <c r="I231" s="3"/>
      <c r="J231" s="3"/>
    </row>
    <row r="232" spans="2:10" ht="15.5">
      <c r="B232" s="4" t="s">
        <v>472</v>
      </c>
      <c r="C232" s="16" t="s">
        <v>466</v>
      </c>
      <c r="D232" s="46"/>
      <c r="E232" s="40" t="s">
        <v>14</v>
      </c>
      <c r="F232" s="32"/>
      <c r="G232" s="2" t="s">
        <v>402</v>
      </c>
      <c r="H232" s="2" t="str">
        <f>IF(G232="","",IF(G232="EKSPLORASI","EXP-"&amp;TEXT(COUNTIF($G$3:G232,G232),"000"),IF(G232="HSE","HSE-"&amp;TEXT(COUNTIF($G$3:G232,G232),"000"),IF(G232="QAQC","QAQC-"&amp;TEXT(COUNTIF($G$3:G232,G232),"000"),IF(G232="HCGA","HCGA-"&amp;TEXT(COUNTIF($G$3:G232,G232),"000"),IF(G232="MAINTENANCE","MNT-"&amp;TEXT(COUNTIF($G$3:G232,G232),"000"),IF(G232="CIVIL","CIV-"&amp;TEXT(COUNTIF($G$3:G232,G232),"000"),IF(G232="GANIS","GAN-"&amp;TEXT(COUNTIF($G$3:G232,G232),"000"),IF(G232="ENGINEERING","ENG-"&amp;TEXT(COUNTIF($G$3:G232,G232),"000"),IF(G232="PRODUKSI","PRO-"&amp;TEXT(COUNTIF($G$3:G232,G232),"000"),IF(G232="SURVEY","SUR-"&amp;TEXT(COUNTIF($G$3:G232,G232),"000"),"")))))))))))</f>
        <v>CIV-036</v>
      </c>
      <c r="I232" s="3"/>
      <c r="J232" s="3"/>
    </row>
    <row r="233" spans="2:10" ht="15.5">
      <c r="B233" s="4" t="s">
        <v>474</v>
      </c>
      <c r="C233" s="16" t="s">
        <v>468</v>
      </c>
      <c r="D233" s="46"/>
      <c r="E233" s="40" t="s">
        <v>14</v>
      </c>
      <c r="F233" s="32"/>
      <c r="G233" s="2" t="s">
        <v>402</v>
      </c>
      <c r="H233" s="2" t="str">
        <f>IF(G233="","",IF(G233="EKSPLORASI","EXP-"&amp;TEXT(COUNTIF($G$3:G233,G233),"000"),IF(G233="HSE","HSE-"&amp;TEXT(COUNTIF($G$3:G233,G233),"000"),IF(G233="QAQC","QAQC-"&amp;TEXT(COUNTIF($G$3:G233,G233),"000"),IF(G233="HCGA","HCGA-"&amp;TEXT(COUNTIF($G$3:G233,G233),"000"),IF(G233="MAINTENANCE","MNT-"&amp;TEXT(COUNTIF($G$3:G233,G233),"000"),IF(G233="CIVIL","CIV-"&amp;TEXT(COUNTIF($G$3:G233,G233),"000"),IF(G233="GANIS","GAN-"&amp;TEXT(COUNTIF($G$3:G233,G233),"000"),IF(G233="ENGINEERING","ENG-"&amp;TEXT(COUNTIF($G$3:G233,G233),"000"),IF(G233="PRODUKSI","PRO-"&amp;TEXT(COUNTIF($G$3:G233,G233),"000"),IF(G233="SURVEY","SUR-"&amp;TEXT(COUNTIF($G$3:G233,G233),"000"),"")))))))))))</f>
        <v>CIV-037</v>
      </c>
      <c r="I233" s="3"/>
      <c r="J233" s="3"/>
    </row>
    <row r="234" spans="2:10" ht="15.5">
      <c r="B234" s="4" t="s">
        <v>476</v>
      </c>
      <c r="C234" s="16" t="s">
        <v>266</v>
      </c>
      <c r="D234" s="46"/>
      <c r="E234" s="40" t="s">
        <v>14</v>
      </c>
      <c r="F234" s="32"/>
      <c r="G234" s="2" t="s">
        <v>402</v>
      </c>
      <c r="H234" s="2" t="str">
        <f>IF(G234="","",IF(G234="EKSPLORASI","EXP-"&amp;TEXT(COUNTIF($G$3:G234,G234),"000"),IF(G234="HSE","HSE-"&amp;TEXT(COUNTIF($G$3:G234,G234),"000"),IF(G234="QAQC","QAQC-"&amp;TEXT(COUNTIF($G$3:G234,G234),"000"),IF(G234="HCGA","HCGA-"&amp;TEXT(COUNTIF($G$3:G234,G234),"000"),IF(G234="MAINTENANCE","MNT-"&amp;TEXT(COUNTIF($G$3:G234,G234),"000"),IF(G234="CIVIL","CIV-"&amp;TEXT(COUNTIF($G$3:G234,G234),"000"),IF(G234="GANIS","GAN-"&amp;TEXT(COUNTIF($G$3:G234,G234),"000"),IF(G234="ENGINEERING","ENG-"&amp;TEXT(COUNTIF($G$3:G234,G234),"000"),IF(G234="PRODUKSI","PRO-"&amp;TEXT(COUNTIF($G$3:G234,G234),"000"),IF(G234="SURVEY","SUR-"&amp;TEXT(COUNTIF($G$3:G234,G234),"000"),"")))))))))))</f>
        <v>CIV-038</v>
      </c>
      <c r="I234" s="3"/>
      <c r="J234" s="3"/>
    </row>
    <row r="235" spans="2:10" ht="15.5">
      <c r="B235" s="4" t="s">
        <v>477</v>
      </c>
      <c r="C235" s="16" t="s">
        <v>471</v>
      </c>
      <c r="D235" s="46"/>
      <c r="E235" s="40" t="s">
        <v>14</v>
      </c>
      <c r="F235" s="32"/>
      <c r="G235" s="2" t="s">
        <v>402</v>
      </c>
      <c r="H235" s="2" t="str">
        <f>IF(G235="","",IF(G235="EKSPLORASI","EXP-"&amp;TEXT(COUNTIF($G$3:G235,G235),"000"),IF(G235="HSE","HSE-"&amp;TEXT(COUNTIF($G$3:G235,G235),"000"),IF(G235="QAQC","QAQC-"&amp;TEXT(COUNTIF($G$3:G235,G235),"000"),IF(G235="HCGA","HCGA-"&amp;TEXT(COUNTIF($G$3:G235,G235),"000"),IF(G235="MAINTENANCE","MNT-"&amp;TEXT(COUNTIF($G$3:G235,G235),"000"),IF(G235="CIVIL","CIV-"&amp;TEXT(COUNTIF($G$3:G235,G235),"000"),IF(G235="GANIS","GAN-"&amp;TEXT(COUNTIF($G$3:G235,G235),"000"),IF(G235="ENGINEERING","ENG-"&amp;TEXT(COUNTIF($G$3:G235,G235),"000"),IF(G235="PRODUKSI","PRO-"&amp;TEXT(COUNTIF($G$3:G235,G235),"000"),IF(G235="SURVEY","SUR-"&amp;TEXT(COUNTIF($G$3:G235,G235),"000"),"")))))))))))</f>
        <v>CIV-039</v>
      </c>
      <c r="I235" s="3"/>
      <c r="J235" s="3"/>
    </row>
    <row r="236" spans="2:10" ht="15.5">
      <c r="B236" s="4" t="s">
        <v>479</v>
      </c>
      <c r="C236" s="16" t="s">
        <v>473</v>
      </c>
      <c r="D236" s="46"/>
      <c r="E236" s="40" t="s">
        <v>14</v>
      </c>
      <c r="F236" s="32"/>
      <c r="G236" s="2" t="s">
        <v>402</v>
      </c>
      <c r="H236" s="2" t="str">
        <f>IF(G236="","",IF(G236="EKSPLORASI","EXP-"&amp;TEXT(COUNTIF($G$3:G236,G236),"000"),IF(G236="HSE","HSE-"&amp;TEXT(COUNTIF($G$3:G236,G236),"000"),IF(G236="QAQC","QAQC-"&amp;TEXT(COUNTIF($G$3:G236,G236),"000"),IF(G236="HCGA","HCGA-"&amp;TEXT(COUNTIF($G$3:G236,G236),"000"),IF(G236="MAINTENANCE","MNT-"&amp;TEXT(COUNTIF($G$3:G236,G236),"000"),IF(G236="CIVIL","CIV-"&amp;TEXT(COUNTIF($G$3:G236,G236),"000"),IF(G236="GANIS","GAN-"&amp;TEXT(COUNTIF($G$3:G236,G236),"000"),IF(G236="ENGINEERING","ENG-"&amp;TEXT(COUNTIF($G$3:G236,G236),"000"),IF(G236="PRODUKSI","PRO-"&amp;TEXT(COUNTIF($G$3:G236,G236),"000"),IF(G236="SURVEY","SUR-"&amp;TEXT(COUNTIF($G$3:G236,G236),"000"),"")))))))))))</f>
        <v>CIV-040</v>
      </c>
      <c r="I236" s="3"/>
      <c r="J236" s="3"/>
    </row>
    <row r="237" spans="2:10" ht="15.5">
      <c r="B237" s="4" t="s">
        <v>481</v>
      </c>
      <c r="C237" s="16" t="s">
        <v>475</v>
      </c>
      <c r="D237" s="46"/>
      <c r="E237" s="40" t="s">
        <v>14</v>
      </c>
      <c r="F237" s="32"/>
      <c r="G237" s="2" t="s">
        <v>402</v>
      </c>
      <c r="H237" s="2" t="str">
        <f>IF(G237="","",IF(G237="EKSPLORASI","EXP-"&amp;TEXT(COUNTIF($G$3:G237,G237),"000"),IF(G237="HSE","HSE-"&amp;TEXT(COUNTIF($G$3:G237,G237),"000"),IF(G237="QAQC","QAQC-"&amp;TEXT(COUNTIF($G$3:G237,G237),"000"),IF(G237="HCGA","HCGA-"&amp;TEXT(COUNTIF($G$3:G237,G237),"000"),IF(G237="MAINTENANCE","MNT-"&amp;TEXT(COUNTIF($G$3:G237,G237),"000"),IF(G237="CIVIL","CIV-"&amp;TEXT(COUNTIF($G$3:G237,G237),"000"),IF(G237="GANIS","GAN-"&amp;TEXT(COUNTIF($G$3:G237,G237),"000"),IF(G237="ENGINEERING","ENG-"&amp;TEXT(COUNTIF($G$3:G237,G237),"000"),IF(G237="PRODUKSI","PRO-"&amp;TEXT(COUNTIF($G$3:G237,G237),"000"),IF(G237="SURVEY","SUR-"&amp;TEXT(COUNTIF($G$3:G237,G237),"000"),"")))))))))))</f>
        <v>CIV-041</v>
      </c>
      <c r="I237" s="3"/>
      <c r="J237" s="3"/>
    </row>
    <row r="238" spans="2:10" ht="15.5">
      <c r="B238" s="4" t="s">
        <v>483</v>
      </c>
      <c r="C238" s="16" t="s">
        <v>33</v>
      </c>
      <c r="D238" s="46">
        <v>50000</v>
      </c>
      <c r="E238" s="40" t="s">
        <v>34</v>
      </c>
      <c r="F238" s="34" t="s">
        <v>1085</v>
      </c>
      <c r="G238" s="2" t="s">
        <v>402</v>
      </c>
      <c r="H238" s="2" t="str">
        <f>IF(G238="","",IF(G238="EKSPLORASI","EXP-"&amp;TEXT(COUNTIF($G$3:G238,G238),"000"),IF(G238="HSE","HSE-"&amp;TEXT(COUNTIF($G$3:G238,G238),"000"),IF(G238="QAQC","QAQC-"&amp;TEXT(COUNTIF($G$3:G238,G238),"000"),IF(G238="HCGA","HCGA-"&amp;TEXT(COUNTIF($G$3:G238,G238),"000"),IF(G238="MAINTENANCE","MNT-"&amp;TEXT(COUNTIF($G$3:G238,G238),"000"),IF(G238="CIVIL","CIV-"&amp;TEXT(COUNTIF($G$3:G238,G238),"000"),IF(G238="GANIS","GAN-"&amp;TEXT(COUNTIF($G$3:G238,G238),"000"),IF(G238="ENGINEERING","ENG-"&amp;TEXT(COUNTIF($G$3:G238,G238),"000"),IF(G238="PRODUKSI","PRO-"&amp;TEXT(COUNTIF($G$3:G238,G238),"000"),IF(G238="SURVEY","SUR-"&amp;TEXT(COUNTIF($G$3:G238,G238),"000"),"")))))))))))</f>
        <v>CIV-042</v>
      </c>
      <c r="I238" s="3"/>
      <c r="J238" s="3"/>
    </row>
    <row r="239" spans="2:10" ht="15.5">
      <c r="B239" s="4" t="s">
        <v>485</v>
      </c>
      <c r="C239" s="16" t="s">
        <v>478</v>
      </c>
      <c r="D239" s="46"/>
      <c r="E239" s="40" t="s">
        <v>14</v>
      </c>
      <c r="F239" s="32"/>
      <c r="G239" s="2" t="s">
        <v>402</v>
      </c>
      <c r="H239" s="2" t="str">
        <f>IF(G239="","",IF(G239="EKSPLORASI","EXP-"&amp;TEXT(COUNTIF($G$3:G239,G239),"000"),IF(G239="HSE","HSE-"&amp;TEXT(COUNTIF($G$3:G239,G239),"000"),IF(G239="QAQC","QAQC-"&amp;TEXT(COUNTIF($G$3:G239,G239),"000"),IF(G239="HCGA","HCGA-"&amp;TEXT(COUNTIF($G$3:G239,G239),"000"),IF(G239="MAINTENANCE","MNT-"&amp;TEXT(COUNTIF($G$3:G239,G239),"000"),IF(G239="CIVIL","CIV-"&amp;TEXT(COUNTIF($G$3:G239,G239),"000"),IF(G239="GANIS","GAN-"&amp;TEXT(COUNTIF($G$3:G239,G239),"000"),IF(G239="ENGINEERING","ENG-"&amp;TEXT(COUNTIF($G$3:G239,G239),"000"),IF(G239="PRODUKSI","PRO-"&amp;TEXT(COUNTIF($G$3:G239,G239),"000"),IF(G239="SURVEY","SUR-"&amp;TEXT(COUNTIF($G$3:G239,G239),"000"),"")))))))))))</f>
        <v>CIV-043</v>
      </c>
      <c r="I239" s="3"/>
      <c r="J239" s="3"/>
    </row>
    <row r="240" spans="2:10" ht="15.5">
      <c r="B240" s="4" t="s">
        <v>487</v>
      </c>
      <c r="C240" s="16" t="s">
        <v>480</v>
      </c>
      <c r="D240" s="46"/>
      <c r="E240" s="40" t="s">
        <v>171</v>
      </c>
      <c r="F240" s="32"/>
      <c r="G240" s="2" t="s">
        <v>402</v>
      </c>
      <c r="H240" s="2" t="str">
        <f>IF(G240="","",IF(G240="EKSPLORASI","EXP-"&amp;TEXT(COUNTIF($G$3:G240,G240),"000"),IF(G240="HSE","HSE-"&amp;TEXT(COUNTIF($G$3:G240,G240),"000"),IF(G240="QAQC","QAQC-"&amp;TEXT(COUNTIF($G$3:G240,G240),"000"),IF(G240="HCGA","HCGA-"&amp;TEXT(COUNTIF($G$3:G240,G240),"000"),IF(G240="MAINTENANCE","MNT-"&amp;TEXT(COUNTIF($G$3:G240,G240),"000"),IF(G240="CIVIL","CIV-"&amp;TEXT(COUNTIF($G$3:G240,G240),"000"),IF(G240="GANIS","GAN-"&amp;TEXT(COUNTIF($G$3:G240,G240),"000"),IF(G240="ENGINEERING","ENG-"&amp;TEXT(COUNTIF($G$3:G240,G240),"000"),IF(G240="PRODUKSI","PRO-"&amp;TEXT(COUNTIF($G$3:G240,G240),"000"),IF(G240="SURVEY","SUR-"&amp;TEXT(COUNTIF($G$3:G240,G240),"000"),"")))))))))))</f>
        <v>CIV-044</v>
      </c>
      <c r="I240" s="3"/>
      <c r="J240" s="3"/>
    </row>
    <row r="241" spans="2:10" ht="15.5">
      <c r="B241" s="4" t="s">
        <v>489</v>
      </c>
      <c r="C241" s="16" t="s">
        <v>482</v>
      </c>
      <c r="D241" s="46"/>
      <c r="E241" s="40" t="s">
        <v>14</v>
      </c>
      <c r="F241" s="32"/>
      <c r="G241" s="2" t="s">
        <v>402</v>
      </c>
      <c r="H241" s="2" t="str">
        <f>IF(G241="","",IF(G241="EKSPLORASI","EXP-"&amp;TEXT(COUNTIF($G$3:G241,G241),"000"),IF(G241="HSE","HSE-"&amp;TEXT(COUNTIF($G$3:G241,G241),"000"),IF(G241="QAQC","QAQC-"&amp;TEXT(COUNTIF($G$3:G241,G241),"000"),IF(G241="HCGA","HCGA-"&amp;TEXT(COUNTIF($G$3:G241,G241),"000"),IF(G241="MAINTENANCE","MNT-"&amp;TEXT(COUNTIF($G$3:G241,G241),"000"),IF(G241="CIVIL","CIV-"&amp;TEXT(COUNTIF($G$3:G241,G241),"000"),IF(G241="GANIS","GAN-"&amp;TEXT(COUNTIF($G$3:G241,G241),"000"),IF(G241="ENGINEERING","ENG-"&amp;TEXT(COUNTIF($G$3:G241,G241),"000"),IF(G241="PRODUKSI","PRO-"&amp;TEXT(COUNTIF($G$3:G241,G241),"000"),IF(G241="SURVEY","SUR-"&amp;TEXT(COUNTIF($G$3:G241,G241),"000"),"")))))))))))</f>
        <v>CIV-045</v>
      </c>
      <c r="I241" s="3"/>
      <c r="J241" s="3"/>
    </row>
    <row r="242" spans="2:10" ht="15.5">
      <c r="B242" s="4" t="s">
        <v>491</v>
      </c>
      <c r="C242" s="16" t="s">
        <v>484</v>
      </c>
      <c r="D242" s="46"/>
      <c r="E242" s="40" t="s">
        <v>14</v>
      </c>
      <c r="F242" s="32"/>
      <c r="G242" s="2" t="s">
        <v>402</v>
      </c>
      <c r="H242" s="2" t="str">
        <f>IF(G242="","",IF(G242="EKSPLORASI","EXP-"&amp;TEXT(COUNTIF($G$3:G242,G242),"000"),IF(G242="HSE","HSE-"&amp;TEXT(COUNTIF($G$3:G242,G242),"000"),IF(G242="QAQC","QAQC-"&amp;TEXT(COUNTIF($G$3:G242,G242),"000"),IF(G242="HCGA","HCGA-"&amp;TEXT(COUNTIF($G$3:G242,G242),"000"),IF(G242="MAINTENANCE","MNT-"&amp;TEXT(COUNTIF($G$3:G242,G242),"000"),IF(G242="CIVIL","CIV-"&amp;TEXT(COUNTIF($G$3:G242,G242),"000"),IF(G242="GANIS","GAN-"&amp;TEXT(COUNTIF($G$3:G242,G242),"000"),IF(G242="ENGINEERING","ENG-"&amp;TEXT(COUNTIF($G$3:G242,G242),"000"),IF(G242="PRODUKSI","PRO-"&amp;TEXT(COUNTIF($G$3:G242,G242),"000"),IF(G242="SURVEY","SUR-"&amp;TEXT(COUNTIF($G$3:G242,G242),"000"),"")))))))))))</f>
        <v>CIV-046</v>
      </c>
      <c r="I242" s="3"/>
      <c r="J242" s="3"/>
    </row>
    <row r="243" spans="2:10" ht="15.5">
      <c r="B243" s="4" t="s">
        <v>493</v>
      </c>
      <c r="C243" s="16" t="s">
        <v>486</v>
      </c>
      <c r="D243" s="46"/>
      <c r="E243" s="40" t="s">
        <v>14</v>
      </c>
      <c r="F243" s="32"/>
      <c r="G243" s="2" t="s">
        <v>402</v>
      </c>
      <c r="H243" s="2" t="str">
        <f>IF(G243="","",IF(G243="EKSPLORASI","EXP-"&amp;TEXT(COUNTIF($G$3:G243,G243),"000"),IF(G243="HSE","HSE-"&amp;TEXT(COUNTIF($G$3:G243,G243),"000"),IF(G243="QAQC","QAQC-"&amp;TEXT(COUNTIF($G$3:G243,G243),"000"),IF(G243="HCGA","HCGA-"&amp;TEXT(COUNTIF($G$3:G243,G243),"000"),IF(G243="MAINTENANCE","MNT-"&amp;TEXT(COUNTIF($G$3:G243,G243),"000"),IF(G243="CIVIL","CIV-"&amp;TEXT(COUNTIF($G$3:G243,G243),"000"),IF(G243="GANIS","GAN-"&amp;TEXT(COUNTIF($G$3:G243,G243),"000"),IF(G243="ENGINEERING","ENG-"&amp;TEXT(COUNTIF($G$3:G243,G243),"000"),IF(G243="PRODUKSI","PRO-"&amp;TEXT(COUNTIF($G$3:G243,G243),"000"),IF(G243="SURVEY","SUR-"&amp;TEXT(COUNTIF($G$3:G243,G243),"000"),"")))))))))))</f>
        <v>CIV-047</v>
      </c>
      <c r="I243" s="3"/>
      <c r="J243" s="3"/>
    </row>
    <row r="244" spans="2:10" ht="15.5">
      <c r="B244" s="4" t="s">
        <v>495</v>
      </c>
      <c r="C244" s="16" t="s">
        <v>488</v>
      </c>
      <c r="D244" s="46"/>
      <c r="E244" s="40" t="s">
        <v>14</v>
      </c>
      <c r="F244" s="32"/>
      <c r="G244" s="2" t="s">
        <v>402</v>
      </c>
      <c r="H244" s="2" t="str">
        <f>IF(G244="","",IF(G244="EKSPLORASI","EXP-"&amp;TEXT(COUNTIF($G$3:G244,G244),"000"),IF(G244="HSE","HSE-"&amp;TEXT(COUNTIF($G$3:G244,G244),"000"),IF(G244="QAQC","QAQC-"&amp;TEXT(COUNTIF($G$3:G244,G244),"000"),IF(G244="HCGA","HCGA-"&amp;TEXT(COUNTIF($G$3:G244,G244),"000"),IF(G244="MAINTENANCE","MNT-"&amp;TEXT(COUNTIF($G$3:G244,G244),"000"),IF(G244="CIVIL","CIV-"&amp;TEXT(COUNTIF($G$3:G244,G244),"000"),IF(G244="GANIS","GAN-"&amp;TEXT(COUNTIF($G$3:G244,G244),"000"),IF(G244="ENGINEERING","ENG-"&amp;TEXT(COUNTIF($G$3:G244,G244),"000"),IF(G244="PRODUKSI","PRO-"&amp;TEXT(COUNTIF($G$3:G244,G244),"000"),IF(G244="SURVEY","SUR-"&amp;TEXT(COUNTIF($G$3:G244,G244),"000"),"")))))))))))</f>
        <v>CIV-048</v>
      </c>
      <c r="I244" s="3"/>
      <c r="J244" s="3"/>
    </row>
    <row r="245" spans="2:10" ht="15.5">
      <c r="B245" s="4" t="s">
        <v>497</v>
      </c>
      <c r="C245" s="16" t="s">
        <v>490</v>
      </c>
      <c r="D245" s="46"/>
      <c r="E245" s="40" t="s">
        <v>14</v>
      </c>
      <c r="F245" s="32"/>
      <c r="G245" s="2" t="s">
        <v>402</v>
      </c>
      <c r="H245" s="2" t="str">
        <f>IF(G245="","",IF(G245="EKSPLORASI","EXP-"&amp;TEXT(COUNTIF($G$3:G245,G245),"000"),IF(G245="HSE","HSE-"&amp;TEXT(COUNTIF($G$3:G245,G245),"000"),IF(G245="QAQC","QAQC-"&amp;TEXT(COUNTIF($G$3:G245,G245),"000"),IF(G245="HCGA","HCGA-"&amp;TEXT(COUNTIF($G$3:G245,G245),"000"),IF(G245="MAINTENANCE","MNT-"&amp;TEXT(COUNTIF($G$3:G245,G245),"000"),IF(G245="CIVIL","CIV-"&amp;TEXT(COUNTIF($G$3:G245,G245),"000"),IF(G245="GANIS","GAN-"&amp;TEXT(COUNTIF($G$3:G245,G245),"000"),IF(G245="ENGINEERING","ENG-"&amp;TEXT(COUNTIF($G$3:G245,G245),"000"),IF(G245="PRODUKSI","PRO-"&amp;TEXT(COUNTIF($G$3:G245,G245),"000"),IF(G245="SURVEY","SUR-"&amp;TEXT(COUNTIF($G$3:G245,G245),"000"),"")))))))))))</f>
        <v>CIV-049</v>
      </c>
      <c r="I245" s="3"/>
      <c r="J245" s="3"/>
    </row>
    <row r="246" spans="2:10" ht="15.5">
      <c r="B246" s="4" t="s">
        <v>499</v>
      </c>
      <c r="C246" s="16" t="s">
        <v>275</v>
      </c>
      <c r="D246" s="46">
        <v>15000</v>
      </c>
      <c r="E246" s="40" t="s">
        <v>14</v>
      </c>
      <c r="F246" s="39" t="s">
        <v>1085</v>
      </c>
      <c r="G246" s="2" t="s">
        <v>492</v>
      </c>
      <c r="H246" s="2" t="str">
        <f>IF(G246="","",IF(G246="EKSPLORASI","EXP-"&amp;TEXT(COUNTIF($G$3:G246,G246),"000"),IF(G246="HSE","HSE-"&amp;TEXT(COUNTIF($G$3:G246,G246),"000"),IF(G246="QAQC","QAQC-"&amp;TEXT(COUNTIF($G$3:G246,G246),"000"),IF(G246="HCGA","HCGA-"&amp;TEXT(COUNTIF($G$3:G246,G246),"000"),IF(G246="MAINTENANCE","MNT-"&amp;TEXT(COUNTIF($G$3:G246,G246),"000"),IF(G246="CIVIL","CIV-"&amp;TEXT(COUNTIF($G$3:G246,G246),"000"),IF(G246="GANIS","GAN-"&amp;TEXT(COUNTIF($G$3:G246,G246),"000"),IF(G246="ENGINEERING","ENG-"&amp;TEXT(COUNTIF($G$3:G246,G246),"000"),IF(G246="PRODUKSI","PRO-"&amp;TEXT(COUNTIF($G$3:G246,G246),"000"),IF(G246="SURVEY","SUR-"&amp;TEXT(COUNTIF($G$3:G246,G246),"000"),"")))))))))))</f>
        <v>ENG-001</v>
      </c>
      <c r="I246" s="3"/>
      <c r="J246" s="3"/>
    </row>
    <row r="247" spans="2:10" ht="15.5">
      <c r="B247" s="4" t="s">
        <v>500</v>
      </c>
      <c r="C247" s="16" t="s">
        <v>494</v>
      </c>
      <c r="D247" s="46">
        <v>15000</v>
      </c>
      <c r="E247" s="40" t="s">
        <v>14</v>
      </c>
      <c r="F247" s="39" t="s">
        <v>1085</v>
      </c>
      <c r="G247" s="2" t="s">
        <v>492</v>
      </c>
      <c r="H247" s="2" t="str">
        <f>IF(G247="","",IF(G247="EKSPLORASI","EXP-"&amp;TEXT(COUNTIF($G$3:G247,G247),"000"),IF(G247="HSE","HSE-"&amp;TEXT(COUNTIF($G$3:G247,G247),"000"),IF(G247="QAQC","QAQC-"&amp;TEXT(COUNTIF($G$3:G247,G247),"000"),IF(G247="HCGA","HCGA-"&amp;TEXT(COUNTIF($G$3:G247,G247),"000"),IF(G247="MAINTENANCE","MNT-"&amp;TEXT(COUNTIF($G$3:G247,G247),"000"),IF(G247="CIVIL","CIV-"&amp;TEXT(COUNTIF($G$3:G247,G247),"000"),IF(G247="GANIS","GAN-"&amp;TEXT(COUNTIF($G$3:G247,G247),"000"),IF(G247="ENGINEERING","ENG-"&amp;TEXT(COUNTIF($G$3:G247,G247),"000"),IF(G247="PRODUKSI","PRO-"&amp;TEXT(COUNTIF($G$3:G247,G247),"000"),IF(G247="SURVEY","SUR-"&amp;TEXT(COUNTIF($G$3:G247,G247),"000"),"")))))))))))</f>
        <v>ENG-002</v>
      </c>
      <c r="I247" s="3"/>
      <c r="J247" s="3"/>
    </row>
    <row r="248" spans="2:10" ht="15.5">
      <c r="B248" s="4" t="s">
        <v>501</v>
      </c>
      <c r="C248" s="16" t="s">
        <v>496</v>
      </c>
      <c r="D248" s="46"/>
      <c r="E248" s="40" t="s">
        <v>14</v>
      </c>
      <c r="F248" s="32"/>
      <c r="G248" s="2" t="s">
        <v>492</v>
      </c>
      <c r="H248" s="2" t="str">
        <f>IF(G248="","",IF(G248="EKSPLORASI","EXP-"&amp;TEXT(COUNTIF($G$3:G248,G248),"000"),IF(G248="HSE","HSE-"&amp;TEXT(COUNTIF($G$3:G248,G248),"000"),IF(G248="QAQC","QAQC-"&amp;TEXT(COUNTIF($G$3:G248,G248),"000"),IF(G248="HCGA","HCGA-"&amp;TEXT(COUNTIF($G$3:G248,G248),"000"),IF(G248="MAINTENANCE","MNT-"&amp;TEXT(COUNTIF($G$3:G248,G248),"000"),IF(G248="CIVIL","CIV-"&amp;TEXT(COUNTIF($G$3:G248,G248),"000"),IF(G248="GANIS","GAN-"&amp;TEXT(COUNTIF($G$3:G248,G248),"000"),IF(G248="ENGINEERING","ENG-"&amp;TEXT(COUNTIF($G$3:G248,G248),"000"),IF(G248="PRODUKSI","PRO-"&amp;TEXT(COUNTIF($G$3:G248,G248),"000"),IF(G248="SURVEY","SUR-"&amp;TEXT(COUNTIF($G$3:G248,G248),"000"),"")))))))))))</f>
        <v>ENG-003</v>
      </c>
      <c r="I248" s="3"/>
      <c r="J248" s="3"/>
    </row>
    <row r="249" spans="2:10" ht="15.5">
      <c r="B249" s="4" t="s">
        <v>502</v>
      </c>
      <c r="C249" s="16" t="s">
        <v>498</v>
      </c>
      <c r="D249" s="47">
        <v>180000</v>
      </c>
      <c r="E249" s="40" t="s">
        <v>14</v>
      </c>
      <c r="F249" s="32"/>
      <c r="G249" s="2" t="s">
        <v>492</v>
      </c>
      <c r="H249" s="2" t="str">
        <f>IF(G249="","",IF(G249="EKSPLORASI","EXP-"&amp;TEXT(COUNTIF($G$3:G249,G249),"000"),IF(G249="HSE","HSE-"&amp;TEXT(COUNTIF($G$3:G249,G249),"000"),IF(G249="QAQC","QAQC-"&amp;TEXT(COUNTIF($G$3:G249,G249),"000"),IF(G249="HCGA","HCGA-"&amp;TEXT(COUNTIF($G$3:G249,G249),"000"),IF(G249="MAINTENANCE","MNT-"&amp;TEXT(COUNTIF($G$3:G249,G249),"000"),IF(G249="CIVIL","CIV-"&amp;TEXT(COUNTIF($G$3:G249,G249),"000"),IF(G249="GANIS","GAN-"&amp;TEXT(COUNTIF($G$3:G249,G249),"000"),IF(G249="ENGINEERING","ENG-"&amp;TEXT(COUNTIF($G$3:G249,G249),"000"),IF(G249="PRODUKSI","PRO-"&amp;TEXT(COUNTIF($G$3:G249,G249),"000"),IF(G249="SURVEY","SUR-"&amp;TEXT(COUNTIF($G$3:G249,G249),"000"),"")))))))))))</f>
        <v>ENG-004</v>
      </c>
      <c r="I249" s="3"/>
      <c r="J249" s="3"/>
    </row>
    <row r="250" spans="2:10" ht="15.5">
      <c r="B250" s="4" t="s">
        <v>504</v>
      </c>
      <c r="C250" s="16" t="s">
        <v>150</v>
      </c>
      <c r="D250" s="46"/>
      <c r="E250" s="40" t="s">
        <v>139</v>
      </c>
      <c r="F250" s="32"/>
      <c r="G250" s="2" t="s">
        <v>492</v>
      </c>
      <c r="H250" s="2" t="str">
        <f>IF(G250="","",IF(G250="EKSPLORASI","EXP-"&amp;TEXT(COUNTIF($G$3:G250,G250),"000"),IF(G250="HSE","HSE-"&amp;TEXT(COUNTIF($G$3:G250,G250),"000"),IF(G250="QAQC","QAQC-"&amp;TEXT(COUNTIF($G$3:G250,G250),"000"),IF(G250="HCGA","HCGA-"&amp;TEXT(COUNTIF($G$3:G250,G250),"000"),IF(G250="MAINTENANCE","MNT-"&amp;TEXT(COUNTIF($G$3:G250,G250),"000"),IF(G250="CIVIL","CIV-"&amp;TEXT(COUNTIF($G$3:G250,G250),"000"),IF(G250="GANIS","GAN-"&amp;TEXT(COUNTIF($G$3:G250,G250),"000"),IF(G250="ENGINEERING","ENG-"&amp;TEXT(COUNTIF($G$3:G250,G250),"000"),IF(G250="PRODUKSI","PRO-"&amp;TEXT(COUNTIF($G$3:G250,G250),"000"),IF(G250="SURVEY","SUR-"&amp;TEXT(COUNTIF($G$3:G250,G250),"000"),"")))))))))))</f>
        <v>ENG-005</v>
      </c>
      <c r="I250" s="3"/>
      <c r="J250" s="3"/>
    </row>
    <row r="251" spans="2:10" ht="15.5">
      <c r="B251" s="4" t="s">
        <v>505</v>
      </c>
      <c r="C251" s="16" t="s">
        <v>331</v>
      </c>
      <c r="D251" s="46">
        <v>50000</v>
      </c>
      <c r="E251" s="40" t="s">
        <v>139</v>
      </c>
      <c r="F251" s="32"/>
      <c r="G251" s="2" t="s">
        <v>492</v>
      </c>
      <c r="H251" s="2" t="str">
        <f>IF(G251="","",IF(G251="EKSPLORASI","EXP-"&amp;TEXT(COUNTIF($G$3:G251,G251),"000"),IF(G251="HSE","HSE-"&amp;TEXT(COUNTIF($G$3:G251,G251),"000"),IF(G251="QAQC","QAQC-"&amp;TEXT(COUNTIF($G$3:G251,G251),"000"),IF(G251="HCGA","HCGA-"&amp;TEXT(COUNTIF($G$3:G251,G251),"000"),IF(G251="MAINTENANCE","MNT-"&amp;TEXT(COUNTIF($G$3:G251,G251),"000"),IF(G251="CIVIL","CIV-"&amp;TEXT(COUNTIF($G$3:G251,G251),"000"),IF(G251="GANIS","GAN-"&amp;TEXT(COUNTIF($G$3:G251,G251),"000"),IF(G251="ENGINEERING","ENG-"&amp;TEXT(COUNTIF($G$3:G251,G251),"000"),IF(G251="PRODUKSI","PRO-"&amp;TEXT(COUNTIF($G$3:G251,G251),"000"),IF(G251="SURVEY","SUR-"&amp;TEXT(COUNTIF($G$3:G251,G251),"000"),"")))))))))))</f>
        <v>ENG-006</v>
      </c>
      <c r="I251" s="3"/>
      <c r="J251" s="3"/>
    </row>
    <row r="252" spans="2:10" ht="15.5">
      <c r="B252" s="4" t="s">
        <v>507</v>
      </c>
      <c r="C252" s="16" t="s">
        <v>52</v>
      </c>
      <c r="D252" s="47">
        <v>30000</v>
      </c>
      <c r="E252" s="40" t="s">
        <v>14</v>
      </c>
      <c r="F252" s="34" t="s">
        <v>1087</v>
      </c>
      <c r="G252" s="2" t="s">
        <v>492</v>
      </c>
      <c r="H252" s="2" t="str">
        <f>IF(G252="","",IF(G252="EKSPLORASI","EXP-"&amp;TEXT(COUNTIF($G$3:G252,G252),"000"),IF(G252="HSE","HSE-"&amp;TEXT(COUNTIF($G$3:G252,G252),"000"),IF(G252="QAQC","QAQC-"&amp;TEXT(COUNTIF($G$3:G252,G252),"000"),IF(G252="HCGA","HCGA-"&amp;TEXT(COUNTIF($G$3:G252,G252),"000"),IF(G252="MAINTENANCE","MNT-"&amp;TEXT(COUNTIF($G$3:G252,G252),"000"),IF(G252="CIVIL","CIV-"&amp;TEXT(COUNTIF($G$3:G252,G252),"000"),IF(G252="GANIS","GAN-"&amp;TEXT(COUNTIF($G$3:G252,G252),"000"),IF(G252="ENGINEERING","ENG-"&amp;TEXT(COUNTIF($G$3:G252,G252),"000"),IF(G252="PRODUKSI","PRO-"&amp;TEXT(COUNTIF($G$3:G252,G252),"000"),IF(G252="SURVEY","SUR-"&amp;TEXT(COUNTIF($G$3:G252,G252),"000"),"")))))))))))</f>
        <v>ENG-007</v>
      </c>
      <c r="I252" s="3"/>
      <c r="J252" s="3"/>
    </row>
    <row r="253" spans="2:10" ht="15.5">
      <c r="B253" s="4" t="s">
        <v>508</v>
      </c>
      <c r="C253" s="16" t="s">
        <v>503</v>
      </c>
      <c r="D253" s="46">
        <v>20000</v>
      </c>
      <c r="E253" s="40" t="s">
        <v>74</v>
      </c>
      <c r="F253" s="34" t="s">
        <v>1089</v>
      </c>
      <c r="G253" s="2" t="s">
        <v>492</v>
      </c>
      <c r="H253" s="2" t="str">
        <f>IF(G253="","",IF(G253="EKSPLORASI","EXP-"&amp;TEXT(COUNTIF($G$3:G253,G253),"000"),IF(G253="HSE","HSE-"&amp;TEXT(COUNTIF($G$3:G253,G253),"000"),IF(G253="QAQC","QAQC-"&amp;TEXT(COUNTIF($G$3:G253,G253),"000"),IF(G253="HCGA","HCGA-"&amp;TEXT(COUNTIF($G$3:G253,G253),"000"),IF(G253="MAINTENANCE","MNT-"&amp;TEXT(COUNTIF($G$3:G253,G253),"000"),IF(G253="CIVIL","CIV-"&amp;TEXT(COUNTIF($G$3:G253,G253),"000"),IF(G253="GANIS","GAN-"&amp;TEXT(COUNTIF($G$3:G253,G253),"000"),IF(G253="ENGINEERING","ENG-"&amp;TEXT(COUNTIF($G$3:G253,G253),"000"),IF(G253="PRODUKSI","PRO-"&amp;TEXT(COUNTIF($G$3:G253,G253),"000"),IF(G253="SURVEY","SUR-"&amp;TEXT(COUNTIF($G$3:G253,G253),"000"),"")))))))))))</f>
        <v>ENG-008</v>
      </c>
      <c r="I253" s="3"/>
      <c r="J253" s="3"/>
    </row>
    <row r="254" spans="2:10" ht="15.5">
      <c r="B254" s="4" t="s">
        <v>510</v>
      </c>
      <c r="C254" s="16" t="s">
        <v>268</v>
      </c>
      <c r="D254" s="46">
        <v>100000</v>
      </c>
      <c r="E254" s="40" t="s">
        <v>14</v>
      </c>
      <c r="F254" s="42" t="s">
        <v>1103</v>
      </c>
      <c r="G254" s="2" t="s">
        <v>492</v>
      </c>
      <c r="H254" s="2" t="str">
        <f>IF(G254="","",IF(G254="EKSPLORASI","EXP-"&amp;TEXT(COUNTIF($G$3:G254,G254),"000"),IF(G254="HSE","HSE-"&amp;TEXT(COUNTIF($G$3:G254,G254),"000"),IF(G254="QAQC","QAQC-"&amp;TEXT(COUNTIF($G$3:G254,G254),"000"),IF(G254="HCGA","HCGA-"&amp;TEXT(COUNTIF($G$3:G254,G254),"000"),IF(G254="MAINTENANCE","MNT-"&amp;TEXT(COUNTIF($G$3:G254,G254),"000"),IF(G254="CIVIL","CIV-"&amp;TEXT(COUNTIF($G$3:G254,G254),"000"),IF(G254="GANIS","GAN-"&amp;TEXT(COUNTIF($G$3:G254,G254),"000"),IF(G254="ENGINEERING","ENG-"&amp;TEXT(COUNTIF($G$3:G254,G254),"000"),IF(G254="PRODUKSI","PRO-"&amp;TEXT(COUNTIF($G$3:G254,G254),"000"),IF(G254="SURVEY","SUR-"&amp;TEXT(COUNTIF($G$3:G254,G254),"000"),"")))))))))))</f>
        <v>ENG-009</v>
      </c>
      <c r="I254" s="3"/>
      <c r="J254" s="3"/>
    </row>
    <row r="255" spans="2:10" ht="15.5">
      <c r="B255" s="4" t="s">
        <v>511</v>
      </c>
      <c r="C255" s="16" t="s">
        <v>506</v>
      </c>
      <c r="D255" s="46">
        <v>45000</v>
      </c>
      <c r="E255" s="40" t="s">
        <v>14</v>
      </c>
      <c r="F255" s="45" t="s">
        <v>1098</v>
      </c>
      <c r="G255" s="2" t="s">
        <v>492</v>
      </c>
      <c r="H255" s="2" t="str">
        <f>IF(G255="","",IF(G255="EKSPLORASI","EXP-"&amp;TEXT(COUNTIF($G$3:G255,G255),"000"),IF(G255="HSE","HSE-"&amp;TEXT(COUNTIF($G$3:G255,G255),"000"),IF(G255="QAQC","QAQC-"&amp;TEXT(COUNTIF($G$3:G255,G255),"000"),IF(G255="HCGA","HCGA-"&amp;TEXT(COUNTIF($G$3:G255,G255),"000"),IF(G255="MAINTENANCE","MNT-"&amp;TEXT(COUNTIF($G$3:G255,G255),"000"),IF(G255="CIVIL","CIV-"&amp;TEXT(COUNTIF($G$3:G255,G255),"000"),IF(G255="GANIS","GAN-"&amp;TEXT(COUNTIF($G$3:G255,G255),"000"),IF(G255="ENGINEERING","ENG-"&amp;TEXT(COUNTIF($G$3:G255,G255),"000"),IF(G255="PRODUKSI","PRO-"&amp;TEXT(COUNTIF($G$3:G255,G255),"000"),IF(G255="SURVEY","SUR-"&amp;TEXT(COUNTIF($G$3:G255,G255),"000"),"")))))))))))</f>
        <v>ENG-010</v>
      </c>
      <c r="I255" s="3"/>
      <c r="J255" s="3"/>
    </row>
    <row r="256" spans="2:10" ht="15.5">
      <c r="B256" s="4" t="s">
        <v>513</v>
      </c>
      <c r="C256" s="16" t="s">
        <v>452</v>
      </c>
      <c r="D256" s="46">
        <v>140000</v>
      </c>
      <c r="E256" s="40" t="s">
        <v>14</v>
      </c>
      <c r="F256" s="45" t="s">
        <v>1100</v>
      </c>
      <c r="G256" s="2" t="s">
        <v>492</v>
      </c>
      <c r="H256" s="2" t="str">
        <f>IF(G256="","",IF(G256="EKSPLORASI","EXP-"&amp;TEXT(COUNTIF($G$3:G256,G256),"000"),IF(G256="HSE","HSE-"&amp;TEXT(COUNTIF($G$3:G256,G256),"000"),IF(G256="QAQC","QAQC-"&amp;TEXT(COUNTIF($G$3:G256,G256),"000"),IF(G256="HCGA","HCGA-"&amp;TEXT(COUNTIF($G$3:G256,G256),"000"),IF(G256="MAINTENANCE","MNT-"&amp;TEXT(COUNTIF($G$3:G256,G256),"000"),IF(G256="CIVIL","CIV-"&amp;TEXT(COUNTIF($G$3:G256,G256),"000"),IF(G256="GANIS","GAN-"&amp;TEXT(COUNTIF($G$3:G256,G256),"000"),IF(G256="ENGINEERING","ENG-"&amp;TEXT(COUNTIF($G$3:G256,G256),"000"),IF(G256="PRODUKSI","PRO-"&amp;TEXT(COUNTIF($G$3:G256,G256),"000"),IF(G256="SURVEY","SUR-"&amp;TEXT(COUNTIF($G$3:G256,G256),"000"),"")))))))))))</f>
        <v>ENG-011</v>
      </c>
      <c r="I256" s="3"/>
      <c r="J256" s="3"/>
    </row>
    <row r="257" spans="2:10" ht="15.5">
      <c r="B257" s="4" t="s">
        <v>514</v>
      </c>
      <c r="C257" s="16" t="s">
        <v>509</v>
      </c>
      <c r="D257" s="46"/>
      <c r="E257" s="40" t="s">
        <v>14</v>
      </c>
      <c r="F257" s="32"/>
      <c r="G257" s="2" t="s">
        <v>492</v>
      </c>
      <c r="H257" s="2" t="str">
        <f>IF(G257="","",IF(G257="EKSPLORASI","EXP-"&amp;TEXT(COUNTIF($G$3:G257,G257),"000"),IF(G257="HSE","HSE-"&amp;TEXT(COUNTIF($G$3:G257,G257),"000"),IF(G257="QAQC","QAQC-"&amp;TEXT(COUNTIF($G$3:G257,G257),"000"),IF(G257="HCGA","HCGA-"&amp;TEXT(COUNTIF($G$3:G257,G257),"000"),IF(G257="MAINTENANCE","MNT-"&amp;TEXT(COUNTIF($G$3:G257,G257),"000"),IF(G257="CIVIL","CIV-"&amp;TEXT(COUNTIF($G$3:G257,G257),"000"),IF(G257="GANIS","GAN-"&amp;TEXT(COUNTIF($G$3:G257,G257),"000"),IF(G257="ENGINEERING","ENG-"&amp;TEXT(COUNTIF($G$3:G257,G257),"000"),IF(G257="PRODUKSI","PRO-"&amp;TEXT(COUNTIF($G$3:G257,G257),"000"),IF(G257="SURVEY","SUR-"&amp;TEXT(COUNTIF($G$3:G257,G257),"000"),"")))))))))))</f>
        <v>ENG-012</v>
      </c>
      <c r="I257" s="3"/>
      <c r="J257" s="3"/>
    </row>
    <row r="258" spans="2:10" ht="15.5">
      <c r="B258" s="4" t="s">
        <v>516</v>
      </c>
      <c r="C258" s="16" t="s">
        <v>205</v>
      </c>
      <c r="D258" s="46"/>
      <c r="E258" s="40" t="s">
        <v>46</v>
      </c>
      <c r="F258" s="32"/>
      <c r="G258" s="2" t="s">
        <v>492</v>
      </c>
      <c r="H258" s="2" t="str">
        <f>IF(G258="","",IF(G258="EKSPLORASI","EXP-"&amp;TEXT(COUNTIF($G$3:G258,G258),"000"),IF(G258="HSE","HSE-"&amp;TEXT(COUNTIF($G$3:G258,G258),"000"),IF(G258="QAQC","QAQC-"&amp;TEXT(COUNTIF($G$3:G258,G258),"000"),IF(G258="HCGA","HCGA-"&amp;TEXT(COUNTIF($G$3:G258,G258),"000"),IF(G258="MAINTENANCE","MNT-"&amp;TEXT(COUNTIF($G$3:G258,G258),"000"),IF(G258="CIVIL","CIV-"&amp;TEXT(COUNTIF($G$3:G258,G258),"000"),IF(G258="GANIS","GAN-"&amp;TEXT(COUNTIF($G$3:G258,G258),"000"),IF(G258="ENGINEERING","ENG-"&amp;TEXT(COUNTIF($G$3:G258,G258),"000"),IF(G258="PRODUKSI","PRO-"&amp;TEXT(COUNTIF($G$3:G258,G258),"000"),IF(G258="SURVEY","SUR-"&amp;TEXT(COUNTIF($G$3:G258,G258),"000"),"")))))))))))</f>
        <v>ENG-013</v>
      </c>
      <c r="I258" s="3"/>
      <c r="J258" s="3"/>
    </row>
    <row r="259" spans="2:10" ht="15.5">
      <c r="B259" s="4" t="s">
        <v>518</v>
      </c>
      <c r="C259" s="16" t="s">
        <v>381</v>
      </c>
      <c r="D259" s="46">
        <v>70000</v>
      </c>
      <c r="E259" s="40" t="s">
        <v>512</v>
      </c>
      <c r="F259" s="32"/>
      <c r="G259" s="2" t="s">
        <v>492</v>
      </c>
      <c r="H259" s="2" t="str">
        <f>IF(G259="","",IF(G259="EKSPLORASI","EXP-"&amp;TEXT(COUNTIF($G$3:G259,G259),"000"),IF(G259="HSE","HSE-"&amp;TEXT(COUNTIF($G$3:G259,G259),"000"),IF(G259="QAQC","QAQC-"&amp;TEXT(COUNTIF($G$3:G259,G259),"000"),IF(G259="HCGA","HCGA-"&amp;TEXT(COUNTIF($G$3:G259,G259),"000"),IF(G259="MAINTENANCE","MNT-"&amp;TEXT(COUNTIF($G$3:G259,G259),"000"),IF(G259="CIVIL","CIV-"&amp;TEXT(COUNTIF($G$3:G259,G259),"000"),IF(G259="GANIS","GAN-"&amp;TEXT(COUNTIF($G$3:G259,G259),"000"),IF(G259="ENGINEERING","ENG-"&amp;TEXT(COUNTIF($G$3:G259,G259),"000"),IF(G259="PRODUKSI","PRO-"&amp;TEXT(COUNTIF($G$3:G259,G259),"000"),IF(G259="SURVEY","SUR-"&amp;TEXT(COUNTIF($G$3:G259,G259),"000"),"")))))))))))</f>
        <v>ENG-014</v>
      </c>
      <c r="I259" s="3"/>
      <c r="J259" s="3"/>
    </row>
    <row r="260" spans="2:10" ht="15.5">
      <c r="B260" s="4" t="s">
        <v>520</v>
      </c>
      <c r="C260" s="16" t="s">
        <v>168</v>
      </c>
      <c r="D260" s="46"/>
      <c r="E260" s="40" t="s">
        <v>14</v>
      </c>
      <c r="F260" s="32"/>
      <c r="G260" s="2" t="s">
        <v>492</v>
      </c>
      <c r="H260" s="2" t="str">
        <f>IF(G260="","",IF(G260="EKSPLORASI","EXP-"&amp;TEXT(COUNTIF($G$3:G260,G260),"000"),IF(G260="HSE","HSE-"&amp;TEXT(COUNTIF($G$3:G260,G260),"000"),IF(G260="QAQC","QAQC-"&amp;TEXT(COUNTIF($G$3:G260,G260),"000"),IF(G260="HCGA","HCGA-"&amp;TEXT(COUNTIF($G$3:G260,G260),"000"),IF(G260="MAINTENANCE","MNT-"&amp;TEXT(COUNTIF($G$3:G260,G260),"000"),IF(G260="CIVIL","CIV-"&amp;TEXT(COUNTIF($G$3:G260,G260),"000"),IF(G260="GANIS","GAN-"&amp;TEXT(COUNTIF($G$3:G260,G260),"000"),IF(G260="ENGINEERING","ENG-"&amp;TEXT(COUNTIF($G$3:G260,G260),"000"),IF(G260="PRODUKSI","PRO-"&amp;TEXT(COUNTIF($G$3:G260,G260),"000"),IF(G260="SURVEY","SUR-"&amp;TEXT(COUNTIF($G$3:G260,G260),"000"),"")))))))))))</f>
        <v>ENG-015</v>
      </c>
      <c r="I260" s="3"/>
      <c r="J260" s="3"/>
    </row>
    <row r="261" spans="2:10" ht="15.5">
      <c r="B261" s="4" t="s">
        <v>521</v>
      </c>
      <c r="C261" s="16" t="s">
        <v>515</v>
      </c>
      <c r="D261" s="46"/>
      <c r="E261" s="40" t="s">
        <v>79</v>
      </c>
      <c r="F261" s="32"/>
      <c r="G261" s="2" t="s">
        <v>492</v>
      </c>
      <c r="H261" s="2" t="str">
        <f>IF(G261="","",IF(G261="EKSPLORASI","EXP-"&amp;TEXT(COUNTIF($G$3:G261,G261),"000"),IF(G261="HSE","HSE-"&amp;TEXT(COUNTIF($G$3:G261,G261),"000"),IF(G261="QAQC","QAQC-"&amp;TEXT(COUNTIF($G$3:G261,G261),"000"),IF(G261="HCGA","HCGA-"&amp;TEXT(COUNTIF($G$3:G261,G261),"000"),IF(G261="MAINTENANCE","MNT-"&amp;TEXT(COUNTIF($G$3:G261,G261),"000"),IF(G261="CIVIL","CIV-"&amp;TEXT(COUNTIF($G$3:G261,G261),"000"),IF(G261="GANIS","GAN-"&amp;TEXT(COUNTIF($G$3:G261,G261),"000"),IF(G261="ENGINEERING","ENG-"&amp;TEXT(COUNTIF($G$3:G261,G261),"000"),IF(G261="PRODUKSI","PRO-"&amp;TEXT(COUNTIF($G$3:G261,G261),"000"),IF(G261="SURVEY","SUR-"&amp;TEXT(COUNTIF($G$3:G261,G261),"000"),"")))))))))))</f>
        <v>ENG-016</v>
      </c>
      <c r="I261" s="3"/>
      <c r="J261" s="3"/>
    </row>
    <row r="262" spans="2:10" ht="15.5">
      <c r="B262" s="4" t="s">
        <v>522</v>
      </c>
      <c r="C262" s="16" t="s">
        <v>517</v>
      </c>
      <c r="D262" s="46"/>
      <c r="E262" s="40" t="s">
        <v>14</v>
      </c>
      <c r="F262" s="32"/>
      <c r="G262" s="2" t="s">
        <v>492</v>
      </c>
      <c r="H262" s="2" t="str">
        <f>IF(G262="","",IF(G262="EKSPLORASI","EXP-"&amp;TEXT(COUNTIF($G$3:G262,G262),"000"),IF(G262="HSE","HSE-"&amp;TEXT(COUNTIF($G$3:G262,G262),"000"),IF(G262="QAQC","QAQC-"&amp;TEXT(COUNTIF($G$3:G262,G262),"000"),IF(G262="HCGA","HCGA-"&amp;TEXT(COUNTIF($G$3:G262,G262),"000"),IF(G262="MAINTENANCE","MNT-"&amp;TEXT(COUNTIF($G$3:G262,G262),"000"),IF(G262="CIVIL","CIV-"&amp;TEXT(COUNTIF($G$3:G262,G262),"000"),IF(G262="GANIS","GAN-"&amp;TEXT(COUNTIF($G$3:G262,G262),"000"),IF(G262="ENGINEERING","ENG-"&amp;TEXT(COUNTIF($G$3:G262,G262),"000"),IF(G262="PRODUKSI","PRO-"&amp;TEXT(COUNTIF($G$3:G262,G262),"000"),IF(G262="SURVEY","SUR-"&amp;TEXT(COUNTIF($G$3:G262,G262),"000"),"")))))))))))</f>
        <v>ENG-017</v>
      </c>
      <c r="I262" s="3"/>
      <c r="J262" s="3"/>
    </row>
    <row r="263" spans="2:10" ht="15.5">
      <c r="B263" s="4" t="s">
        <v>524</v>
      </c>
      <c r="C263" s="16" t="s">
        <v>519</v>
      </c>
      <c r="D263" s="46">
        <v>50000</v>
      </c>
      <c r="E263" s="40" t="s">
        <v>14</v>
      </c>
      <c r="F263" s="34" t="s">
        <v>1085</v>
      </c>
      <c r="G263" s="2" t="s">
        <v>492</v>
      </c>
      <c r="H263" s="2" t="str">
        <f>IF(G263="","",IF(G263="EKSPLORASI","EXP-"&amp;TEXT(COUNTIF($G$3:G263,G263),"000"),IF(G263="HSE","HSE-"&amp;TEXT(COUNTIF($G$3:G263,G263),"000"),IF(G263="QAQC","QAQC-"&amp;TEXT(COUNTIF($G$3:G263,G263),"000"),IF(G263="HCGA","HCGA-"&amp;TEXT(COUNTIF($G$3:G263,G263),"000"),IF(G263="MAINTENANCE","MNT-"&amp;TEXT(COUNTIF($G$3:G263,G263),"000"),IF(G263="CIVIL","CIV-"&amp;TEXT(COUNTIF($G$3:G263,G263),"000"),IF(G263="GANIS","GAN-"&amp;TEXT(COUNTIF($G$3:G263,G263),"000"),IF(G263="ENGINEERING","ENG-"&amp;TEXT(COUNTIF($G$3:G263,G263),"000"),IF(G263="PRODUKSI","PRO-"&amp;TEXT(COUNTIF($G$3:G263,G263),"000"),IF(G263="SURVEY","SUR-"&amp;TEXT(COUNTIF($G$3:G263,G263),"000"),"")))))))))))</f>
        <v>ENG-018</v>
      </c>
      <c r="I263" s="3"/>
      <c r="J263" s="3"/>
    </row>
    <row r="264" spans="2:10" ht="15.5">
      <c r="B264" s="4" t="s">
        <v>526</v>
      </c>
      <c r="C264" s="16" t="s">
        <v>160</v>
      </c>
      <c r="D264" s="46"/>
      <c r="E264" s="40" t="s">
        <v>14</v>
      </c>
      <c r="F264" s="32"/>
      <c r="G264" s="2" t="s">
        <v>492</v>
      </c>
      <c r="H264" s="2" t="str">
        <f>IF(G264="","",IF(G264="EKSPLORASI","EXP-"&amp;TEXT(COUNTIF($G$3:G264,G264),"000"),IF(G264="HSE","HSE-"&amp;TEXT(COUNTIF($G$3:G264,G264),"000"),IF(G264="QAQC","QAQC-"&amp;TEXT(COUNTIF($G$3:G264,G264),"000"),IF(G264="HCGA","HCGA-"&amp;TEXT(COUNTIF($G$3:G264,G264),"000"),IF(G264="MAINTENANCE","MNT-"&amp;TEXT(COUNTIF($G$3:G264,G264),"000"),IF(G264="CIVIL","CIV-"&amp;TEXT(COUNTIF($G$3:G264,G264),"000"),IF(G264="GANIS","GAN-"&amp;TEXT(COUNTIF($G$3:G264,G264),"000"),IF(G264="ENGINEERING","ENG-"&amp;TEXT(COUNTIF($G$3:G264,G264),"000"),IF(G264="PRODUKSI","PRO-"&amp;TEXT(COUNTIF($G$3:G264,G264),"000"),IF(G264="SURVEY","SUR-"&amp;TEXT(COUNTIF($G$3:G264,G264),"000"),"")))))))))))</f>
        <v>ENG-019</v>
      </c>
      <c r="I264" s="3"/>
      <c r="J264" s="3"/>
    </row>
    <row r="265" spans="2:10" ht="15.5">
      <c r="B265" s="4" t="s">
        <v>529</v>
      </c>
      <c r="C265" s="16" t="s">
        <v>408</v>
      </c>
      <c r="D265" s="46"/>
      <c r="E265" s="40" t="s">
        <v>14</v>
      </c>
      <c r="F265" s="32"/>
      <c r="G265" s="2" t="s">
        <v>492</v>
      </c>
      <c r="H265" s="2" t="str">
        <f>IF(G265="","",IF(G265="EKSPLORASI","EXP-"&amp;TEXT(COUNTIF($G$3:G265,G265),"000"),IF(G265="HSE","HSE-"&amp;TEXT(COUNTIF($G$3:G265,G265),"000"),IF(G265="QAQC","QAQC-"&amp;TEXT(COUNTIF($G$3:G265,G265),"000"),IF(G265="HCGA","HCGA-"&amp;TEXT(COUNTIF($G$3:G265,G265),"000"),IF(G265="MAINTENANCE","MNT-"&amp;TEXT(COUNTIF($G$3:G265,G265),"000"),IF(G265="CIVIL","CIV-"&amp;TEXT(COUNTIF($G$3:G265,G265),"000"),IF(G265="GANIS","GAN-"&amp;TEXT(COUNTIF($G$3:G265,G265),"000"),IF(G265="ENGINEERING","ENG-"&amp;TEXT(COUNTIF($G$3:G265,G265),"000"),IF(G265="PRODUKSI","PRO-"&amp;TEXT(COUNTIF($G$3:G265,G265),"000"),IF(G265="SURVEY","SUR-"&amp;TEXT(COUNTIF($G$3:G265,G265),"000"),"")))))))))))</f>
        <v>ENG-020</v>
      </c>
      <c r="I265" s="3"/>
      <c r="J265" s="3"/>
    </row>
    <row r="266" spans="2:10" ht="15.5">
      <c r="B266" s="4" t="s">
        <v>532</v>
      </c>
      <c r="C266" s="16" t="s">
        <v>523</v>
      </c>
      <c r="D266" s="46"/>
      <c r="E266" s="40" t="s">
        <v>14</v>
      </c>
      <c r="F266" s="32"/>
      <c r="G266" s="2" t="s">
        <v>492</v>
      </c>
      <c r="H266" s="2" t="str">
        <f>IF(G266="","",IF(G266="EKSPLORASI","EXP-"&amp;TEXT(COUNTIF($G$3:G266,G266),"000"),IF(G266="HSE","HSE-"&amp;TEXT(COUNTIF($G$3:G266,G266),"000"),IF(G266="QAQC","QAQC-"&amp;TEXT(COUNTIF($G$3:G266,G266),"000"),IF(G266="HCGA","HCGA-"&amp;TEXT(COUNTIF($G$3:G266,G266),"000"),IF(G266="MAINTENANCE","MNT-"&amp;TEXT(COUNTIF($G$3:G266,G266),"000"),IF(G266="CIVIL","CIV-"&amp;TEXT(COUNTIF($G$3:G266,G266),"000"),IF(G266="GANIS","GAN-"&amp;TEXT(COUNTIF($G$3:G266,G266),"000"),IF(G266="ENGINEERING","ENG-"&amp;TEXT(COUNTIF($G$3:G266,G266),"000"),IF(G266="PRODUKSI","PRO-"&amp;TEXT(COUNTIF($G$3:G266,G266),"000"),IF(G266="SURVEY","SUR-"&amp;TEXT(COUNTIF($G$3:G266,G266),"000"),"")))))))))))</f>
        <v>ENG-021</v>
      </c>
      <c r="I266" s="3"/>
      <c r="J266" s="3"/>
    </row>
    <row r="267" spans="2:10" ht="15.5">
      <c r="B267" s="4" t="s">
        <v>533</v>
      </c>
      <c r="C267" s="16" t="s">
        <v>525</v>
      </c>
      <c r="D267" s="46"/>
      <c r="E267" s="40" t="s">
        <v>14</v>
      </c>
      <c r="F267" s="32"/>
      <c r="G267" s="2" t="s">
        <v>492</v>
      </c>
      <c r="H267" s="2" t="str">
        <f>IF(G267="","",IF(G267="EKSPLORASI","EXP-"&amp;TEXT(COUNTIF($G$3:G267,G267),"000"),IF(G267="HSE","HSE-"&amp;TEXT(COUNTIF($G$3:G267,G267),"000"),IF(G267="QAQC","QAQC-"&amp;TEXT(COUNTIF($G$3:G267,G267),"000"),IF(G267="HCGA","HCGA-"&amp;TEXT(COUNTIF($G$3:G267,G267),"000"),IF(G267="MAINTENANCE","MNT-"&amp;TEXT(COUNTIF($G$3:G267,G267),"000"),IF(G267="CIVIL","CIV-"&amp;TEXT(COUNTIF($G$3:G267,G267),"000"),IF(G267="GANIS","GAN-"&amp;TEXT(COUNTIF($G$3:G267,G267),"000"),IF(G267="ENGINEERING","ENG-"&amp;TEXT(COUNTIF($G$3:G267,G267),"000"),IF(G267="PRODUKSI","PRO-"&amp;TEXT(COUNTIF($G$3:G267,G267),"000"),IF(G267="SURVEY","SUR-"&amp;TEXT(COUNTIF($G$3:G267,G267),"000"),"")))))))))))</f>
        <v>ENG-022</v>
      </c>
      <c r="I267" s="3"/>
      <c r="J267" s="3"/>
    </row>
    <row r="268" spans="2:10" ht="15.5">
      <c r="B268" s="4" t="s">
        <v>535</v>
      </c>
      <c r="C268" s="16" t="s">
        <v>527</v>
      </c>
      <c r="D268" s="46"/>
      <c r="E268" s="40" t="s">
        <v>528</v>
      </c>
      <c r="F268" s="32"/>
      <c r="G268" s="2" t="s">
        <v>492</v>
      </c>
      <c r="H268" s="2" t="str">
        <f>IF(G268="","",IF(G268="EKSPLORASI","EXP-"&amp;TEXT(COUNTIF($G$3:G268,G268),"000"),IF(G268="HSE","HSE-"&amp;TEXT(COUNTIF($G$3:G268,G268),"000"),IF(G268="QAQC","QAQC-"&amp;TEXT(COUNTIF($G$3:G268,G268),"000"),IF(G268="HCGA","HCGA-"&amp;TEXT(COUNTIF($G$3:G268,G268),"000"),IF(G268="MAINTENANCE","MNT-"&amp;TEXT(COUNTIF($G$3:G268,G268),"000"),IF(G268="CIVIL","CIV-"&amp;TEXT(COUNTIF($G$3:G268,G268),"000"),IF(G268="GANIS","GAN-"&amp;TEXT(COUNTIF($G$3:G268,G268),"000"),IF(G268="ENGINEERING","ENG-"&amp;TEXT(COUNTIF($G$3:G268,G268),"000"),IF(G268="PRODUKSI","PRO-"&amp;TEXT(COUNTIF($G$3:G268,G268),"000"),IF(G268="SURVEY","SUR-"&amp;TEXT(COUNTIF($G$3:G268,G268),"000"),"")))))))))))</f>
        <v>ENG-023</v>
      </c>
      <c r="I268" s="3"/>
      <c r="J268" s="3"/>
    </row>
    <row r="269" spans="2:10" ht="15.5">
      <c r="B269" s="4" t="s">
        <v>537</v>
      </c>
      <c r="C269" s="16" t="s">
        <v>1117</v>
      </c>
      <c r="D269" s="46">
        <v>150000</v>
      </c>
      <c r="E269" s="40" t="s">
        <v>14</v>
      </c>
      <c r="F269" s="32"/>
      <c r="G269" s="2" t="s">
        <v>531</v>
      </c>
      <c r="H269" s="2" t="str">
        <f>IF(G269="","",IF(G269="EKSPLORASI","EXP-"&amp;TEXT(COUNTIF($G$3:G269,G269),"000"),IF(G269="HSE","HSE-"&amp;TEXT(COUNTIF($G$3:G269,G269),"000"),IF(G269="QAQC","QAQC-"&amp;TEXT(COUNTIF($G$3:G269,G269),"000"),IF(G269="HCGA","HCGA-"&amp;TEXT(COUNTIF($G$3:G269,G269),"000"),IF(G269="MAINTENANCE","MNT-"&amp;TEXT(COUNTIF($G$3:G269,G269),"000"),IF(G269="CIVIL","CIV-"&amp;TEXT(COUNTIF($G$3:G269,G269),"000"),IF(G269="GANIS","GAN-"&amp;TEXT(COUNTIF($G$3:G269,G269),"000"),IF(G269="ENGINEERING","ENG-"&amp;TEXT(COUNTIF($G$3:G269,G269),"000"),IF(G269="PRODUKSI","PRO-"&amp;TEXT(COUNTIF($G$3:G269,G269),"000"),IF(G269="SURVEY","SUR-"&amp;TEXT(COUNTIF($G$3:G269,G269),"000"),"")))))))))))</f>
        <v>GAN-001</v>
      </c>
      <c r="I269" s="3"/>
      <c r="J269" s="3"/>
    </row>
    <row r="270" spans="2:10" ht="15.5">
      <c r="B270" s="4" t="s">
        <v>538</v>
      </c>
      <c r="C270" s="16" t="s">
        <v>1118</v>
      </c>
      <c r="D270" s="46">
        <v>100000</v>
      </c>
      <c r="E270" s="40" t="s">
        <v>14</v>
      </c>
      <c r="F270" s="32"/>
      <c r="G270" s="2" t="s">
        <v>531</v>
      </c>
      <c r="H270" s="2" t="str">
        <f>IF(G270="","",IF(G270="EKSPLORASI","EXP-"&amp;TEXT(COUNTIF($G$3:G270,G270),"000"),IF(G270="HSE","HSE-"&amp;TEXT(COUNTIF($G$3:G270,G270),"000"),IF(G270="QAQC","QAQC-"&amp;TEXT(COUNTIF($G$3:G270,G270),"000"),IF(G270="HCGA","HCGA-"&amp;TEXT(COUNTIF($G$3:G270,G270),"000"),IF(G270="MAINTENANCE","MNT-"&amp;TEXT(COUNTIF($G$3:G270,G270),"000"),IF(G270="CIVIL","CIV-"&amp;TEXT(COUNTIF($G$3:G270,G270),"000"),IF(G270="GANIS","GAN-"&amp;TEXT(COUNTIF($G$3:G270,G270),"000"),IF(G270="ENGINEERING","ENG-"&amp;TEXT(COUNTIF($G$3:G270,G270),"000"),IF(G270="PRODUKSI","PRO-"&amp;TEXT(COUNTIF($G$3:G270,G270),"000"),IF(G270="SURVEY","SUR-"&amp;TEXT(COUNTIF($G$3:G270,G270),"000"),"")))))))))))</f>
        <v>GAN-002</v>
      </c>
      <c r="I270" s="3"/>
      <c r="J270" s="3"/>
    </row>
    <row r="271" spans="2:10" ht="15.5">
      <c r="B271" s="4" t="s">
        <v>540</v>
      </c>
      <c r="C271" s="16" t="s">
        <v>1120</v>
      </c>
      <c r="D271" s="46">
        <v>500</v>
      </c>
      <c r="E271" s="40" t="s">
        <v>132</v>
      </c>
      <c r="F271" s="32"/>
      <c r="G271" s="2" t="s">
        <v>531</v>
      </c>
      <c r="H271" s="2" t="str">
        <f>IF(G271="","",IF(G271="EKSPLORASI","EXP-"&amp;TEXT(COUNTIF($G$3:G271,G271),"000"),IF(G271="HSE","HSE-"&amp;TEXT(COUNTIF($G$3:G271,G271),"000"),IF(G271="QAQC","QAQC-"&amp;TEXT(COUNTIF($G$3:G271,G271),"000"),IF(G271="HCGA","HCGA-"&amp;TEXT(COUNTIF($G$3:G271,G271),"000"),IF(G271="MAINTENANCE","MNT-"&amp;TEXT(COUNTIF($G$3:G271,G271),"000"),IF(G271="CIVIL","CIV-"&amp;TEXT(COUNTIF($G$3:G271,G271),"000"),IF(G271="GANIS","GAN-"&amp;TEXT(COUNTIF($G$3:G271,G271),"000"),IF(G271="ENGINEERING","ENG-"&amp;TEXT(COUNTIF($G$3:G271,G271),"000"),IF(G271="PRODUKSI","PRO-"&amp;TEXT(COUNTIF($G$3:G271,G271),"000"),IF(G271="SURVEY","SUR-"&amp;TEXT(COUNTIF($G$3:G271,G271),"000"),"")))))))))))</f>
        <v>GAN-003</v>
      </c>
      <c r="I271" s="3"/>
      <c r="J271" s="3"/>
    </row>
    <row r="272" spans="2:10" ht="15.5">
      <c r="B272" s="4" t="s">
        <v>542</v>
      </c>
      <c r="C272" s="16" t="s">
        <v>1119</v>
      </c>
      <c r="D272" s="46">
        <v>500</v>
      </c>
      <c r="E272" s="40" t="s">
        <v>132</v>
      </c>
      <c r="F272" s="32"/>
      <c r="G272" s="2" t="s">
        <v>531</v>
      </c>
      <c r="H272" s="2" t="str">
        <f>IF(G272="","",IF(G272="EKSPLORASI","EXP-"&amp;TEXT(COUNTIF($G$3:G272,G272),"000"),IF(G272="HSE","HSE-"&amp;TEXT(COUNTIF($G$3:G272,G272),"000"),IF(G272="QAQC","QAQC-"&amp;TEXT(COUNTIF($G$3:G272,G272),"000"),IF(G272="HCGA","HCGA-"&amp;TEXT(COUNTIF($G$3:G272,G272),"000"),IF(G272="MAINTENANCE","MNT-"&amp;TEXT(COUNTIF($G$3:G272,G272),"000"),IF(G272="CIVIL","CIV-"&amp;TEXT(COUNTIF($G$3:G272,G272),"000"),IF(G272="GANIS","GAN-"&amp;TEXT(COUNTIF($G$3:G272,G272),"000"),IF(G272="ENGINEERING","ENG-"&amp;TEXT(COUNTIF($G$3:G272,G272),"000"),IF(G272="PRODUKSI","PRO-"&amp;TEXT(COUNTIF($G$3:G272,G272),"000"),IF(G272="SURVEY","SUR-"&amp;TEXT(COUNTIF($G$3:G272,G272),"000"),"")))))))))))</f>
        <v>GAN-004</v>
      </c>
      <c r="I272" s="3"/>
      <c r="J272" s="3"/>
    </row>
    <row r="273" spans="2:10" ht="15.5">
      <c r="B273" s="4" t="s">
        <v>544</v>
      </c>
      <c r="C273" s="11" t="s">
        <v>530</v>
      </c>
      <c r="D273" s="46"/>
      <c r="E273" s="40" t="s">
        <v>14</v>
      </c>
      <c r="F273" s="32"/>
      <c r="G273" s="21" t="s">
        <v>531</v>
      </c>
      <c r="H273" s="2" t="str">
        <f>IF(G273="","",IF(G273="EKSPLORASI","EXP-"&amp;TEXT(COUNTIF($G$3:G273,G273),"000"),IF(G273="HSE","HSE-"&amp;TEXT(COUNTIF($G$3:G273,G273),"000"),IF(G273="QAQC","QAQC-"&amp;TEXT(COUNTIF($G$3:G273,G273),"000"),IF(G273="HCGA","HCGA-"&amp;TEXT(COUNTIF($G$3:G273,G273),"000"),IF(G273="MAINTENANCE","MNT-"&amp;TEXT(COUNTIF($G$3:G273,G273),"000"),IF(G273="CIVIL","CIV-"&amp;TEXT(COUNTIF($G$3:G273,G273),"000"),IF(G273="GANIS","GAN-"&amp;TEXT(COUNTIF($G$3:G273,G273),"000"),IF(G273="ENGINEERING","ENG-"&amp;TEXT(COUNTIF($G$3:G273,G273),"000"),IF(G273="PRODUKSI","PRO-"&amp;TEXT(COUNTIF($G$3:G273,G273),"000"),IF(G273="SURVEY","SUR-"&amp;TEXT(COUNTIF($G$3:G273,G273),"000"),"")))))))))))</f>
        <v>GAN-005</v>
      </c>
      <c r="I273" s="3"/>
      <c r="J273" s="3"/>
    </row>
    <row r="274" spans="2:10" ht="15.5">
      <c r="B274" s="4" t="s">
        <v>546</v>
      </c>
      <c r="C274" s="11" t="s">
        <v>24</v>
      </c>
      <c r="D274" s="46"/>
      <c r="E274" s="40" t="s">
        <v>25</v>
      </c>
      <c r="F274" s="32"/>
      <c r="G274" s="21" t="s">
        <v>531</v>
      </c>
      <c r="H274" s="2" t="str">
        <f>IF(G274="","",IF(G274="EKSPLORASI","EXP-"&amp;TEXT(COUNTIF($G$3:G274,G274),"000"),IF(G274="HSE","HSE-"&amp;TEXT(COUNTIF($G$3:G274,G274),"000"),IF(G274="QAQC","QAQC-"&amp;TEXT(COUNTIF($G$3:G274,G274),"000"),IF(G274="HCGA","HCGA-"&amp;TEXT(COUNTIF($G$3:G274,G274),"000"),IF(G274="MAINTENANCE","MNT-"&amp;TEXT(COUNTIF($G$3:G274,G274),"000"),IF(G274="CIVIL","CIV-"&amp;TEXT(COUNTIF($G$3:G274,G274),"000"),IF(G274="GANIS","GAN-"&amp;TEXT(COUNTIF($G$3:G274,G274),"000"),IF(G274="ENGINEERING","ENG-"&amp;TEXT(COUNTIF($G$3:G274,G274),"000"),IF(G274="PRODUKSI","PRO-"&amp;TEXT(COUNTIF($G$3:G274,G274),"000"),IF(G274="SURVEY","SUR-"&amp;TEXT(COUNTIF($G$3:G274,G274),"000"),"")))))))))))</f>
        <v>GAN-006</v>
      </c>
      <c r="I274" s="3"/>
      <c r="J274" s="3"/>
    </row>
    <row r="275" spans="2:10" ht="15.5">
      <c r="B275" s="4" t="s">
        <v>548</v>
      </c>
      <c r="C275" s="11" t="s">
        <v>534</v>
      </c>
      <c r="D275" s="46"/>
      <c r="E275" s="40" t="s">
        <v>14</v>
      </c>
      <c r="F275" s="32"/>
      <c r="G275" s="21" t="s">
        <v>531</v>
      </c>
      <c r="H275" s="2" t="str">
        <f>IF(G275="","",IF(G275="EKSPLORASI","EXP-"&amp;TEXT(COUNTIF($G$3:G275,G275),"000"),IF(G275="HSE","HSE-"&amp;TEXT(COUNTIF($G$3:G275,G275),"000"),IF(G275="QAQC","QAQC-"&amp;TEXT(COUNTIF($G$3:G275,G275),"000"),IF(G275="HCGA","HCGA-"&amp;TEXT(COUNTIF($G$3:G275,G275),"000"),IF(G275="MAINTENANCE","MNT-"&amp;TEXT(COUNTIF($G$3:G275,G275),"000"),IF(G275="CIVIL","CIV-"&amp;TEXT(COUNTIF($G$3:G275,G275),"000"),IF(G275="GANIS","GAN-"&amp;TEXT(COUNTIF($G$3:G275,G275),"000"),IF(G275="ENGINEERING","ENG-"&amp;TEXT(COUNTIF($G$3:G275,G275),"000"),IF(G275="PRODUKSI","PRO-"&amp;TEXT(COUNTIF($G$3:G275,G275),"000"),IF(G275="SURVEY","SUR-"&amp;TEXT(COUNTIF($G$3:G275,G275),"000"),"")))))))))))</f>
        <v>GAN-007</v>
      </c>
      <c r="I275" s="3"/>
      <c r="J275" s="3"/>
    </row>
    <row r="276" spans="2:10" ht="15.5">
      <c r="B276" s="4" t="s">
        <v>549</v>
      </c>
      <c r="C276" s="11" t="s">
        <v>536</v>
      </c>
      <c r="D276" s="46">
        <v>5000</v>
      </c>
      <c r="E276" s="40" t="s">
        <v>14</v>
      </c>
      <c r="F276" s="32"/>
      <c r="G276" s="21" t="s">
        <v>531</v>
      </c>
      <c r="H276" s="2" t="str">
        <f>IF(G276="","",IF(G276="EKSPLORASI","EXP-"&amp;TEXT(COUNTIF($G$3:G276,G276),"000"),IF(G276="HSE","HSE-"&amp;TEXT(COUNTIF($G$3:G276,G276),"000"),IF(G276="QAQC","QAQC-"&amp;TEXT(COUNTIF($G$3:G276,G276),"000"),IF(G276="HCGA","HCGA-"&amp;TEXT(COUNTIF($G$3:G276,G276),"000"),IF(G276="MAINTENANCE","MNT-"&amp;TEXT(COUNTIF($G$3:G276,G276),"000"),IF(G276="CIVIL","CIV-"&amp;TEXT(COUNTIF($G$3:G276,G276),"000"),IF(G276="GANIS","GAN-"&amp;TEXT(COUNTIF($G$3:G276,G276),"000"),IF(G276="ENGINEERING","ENG-"&amp;TEXT(COUNTIF($G$3:G276,G276),"000"),IF(G276="PRODUKSI","PRO-"&amp;TEXT(COUNTIF($G$3:G276,G276),"000"),IF(G276="SURVEY","SUR-"&amp;TEXT(COUNTIF($G$3:G276,G276),"000"),"")))))))))))</f>
        <v>GAN-008</v>
      </c>
      <c r="I276" s="3"/>
      <c r="J276" s="3"/>
    </row>
    <row r="277" spans="2:10" ht="15.5">
      <c r="B277" s="4" t="s">
        <v>551</v>
      </c>
      <c r="C277" s="20" t="s">
        <v>9</v>
      </c>
      <c r="D277" s="46">
        <v>15000</v>
      </c>
      <c r="E277" s="40" t="s">
        <v>11</v>
      </c>
      <c r="F277" s="32" t="s">
        <v>1083</v>
      </c>
      <c r="G277" s="21" t="s">
        <v>531</v>
      </c>
      <c r="H277" s="2" t="str">
        <f>IF(G277="","",IF(G277="EKSPLORASI","EXP-"&amp;TEXT(COUNTIF($G$3:G277,G277),"000"),IF(G277="HSE","HSE-"&amp;TEXT(COUNTIF($G$3:G277,G277),"000"),IF(G277="QAQC","QAQC-"&amp;TEXT(COUNTIF($G$3:G277,G277),"000"),IF(G277="HCGA","HCGA-"&amp;TEXT(COUNTIF($G$3:G277,G277),"000"),IF(G277="MAINTENANCE","MNT-"&amp;TEXT(COUNTIF($G$3:G277,G277),"000"),IF(G277="CIVIL","CIV-"&amp;TEXT(COUNTIF($G$3:G277,G277),"000"),IF(G277="GANIS","GAN-"&amp;TEXT(COUNTIF($G$3:G277,G277),"000"),IF(G277="ENGINEERING","ENG-"&amp;TEXT(COUNTIF($G$3:G277,G277),"000"),IF(G277="PRODUKSI","PRO-"&amp;TEXT(COUNTIF($G$3:G277,G277),"000"),IF(G277="SURVEY","SUR-"&amp;TEXT(COUNTIF($G$3:G277,G277),"000"),"")))))))))))</f>
        <v>GAN-009</v>
      </c>
      <c r="I277" s="3"/>
      <c r="J277" s="3"/>
    </row>
    <row r="278" spans="2:10" ht="15.5">
      <c r="B278" s="4" t="s">
        <v>553</v>
      </c>
      <c r="C278" s="20" t="s">
        <v>539</v>
      </c>
      <c r="D278" s="46"/>
      <c r="E278" s="40" t="s">
        <v>14</v>
      </c>
      <c r="F278" s="32"/>
      <c r="G278" s="21" t="s">
        <v>531</v>
      </c>
      <c r="H278" s="2" t="str">
        <f>IF(G278="","",IF(G278="EKSPLORASI","EXP-"&amp;TEXT(COUNTIF($G$3:G278,G278),"000"),IF(G278="HSE","HSE-"&amp;TEXT(COUNTIF($G$3:G278,G278),"000"),IF(G278="QAQC","QAQC-"&amp;TEXT(COUNTIF($G$3:G278,G278),"000"),IF(G278="HCGA","HCGA-"&amp;TEXT(COUNTIF($G$3:G278,G278),"000"),IF(G278="MAINTENANCE","MNT-"&amp;TEXT(COUNTIF($G$3:G278,G278),"000"),IF(G278="CIVIL","CIV-"&amp;TEXT(COUNTIF($G$3:G278,G278),"000"),IF(G278="GANIS","GAN-"&amp;TEXT(COUNTIF($G$3:G278,G278),"000"),IF(G278="ENGINEERING","ENG-"&amp;TEXT(COUNTIF($G$3:G278,G278),"000"),IF(G278="PRODUKSI","PRO-"&amp;TEXT(COUNTIF($G$3:G278,G278),"000"),IF(G278="SURVEY","SUR-"&amp;TEXT(COUNTIF($G$3:G278,G278),"000"),"")))))))))))</f>
        <v>GAN-010</v>
      </c>
      <c r="I278" s="3"/>
      <c r="J278" s="3"/>
    </row>
    <row r="279" spans="2:10" ht="15.5">
      <c r="B279" s="4" t="s">
        <v>555</v>
      </c>
      <c r="C279" s="11" t="s">
        <v>541</v>
      </c>
      <c r="D279" s="46"/>
      <c r="E279" s="40" t="s">
        <v>14</v>
      </c>
      <c r="F279" s="32"/>
      <c r="G279" s="21" t="s">
        <v>531</v>
      </c>
      <c r="H279" s="2" t="str">
        <f>IF(G279="","",IF(G279="EKSPLORASI","EXP-"&amp;TEXT(COUNTIF($G$3:G279,G279),"000"),IF(G279="HSE","HSE-"&amp;TEXT(COUNTIF($G$3:G279,G279),"000"),IF(G279="QAQC","QAQC-"&amp;TEXT(COUNTIF($G$3:G279,G279),"000"),IF(G279="HCGA","HCGA-"&amp;TEXT(COUNTIF($G$3:G279,G279),"000"),IF(G279="MAINTENANCE","MNT-"&amp;TEXT(COUNTIF($G$3:G279,G279),"000"),IF(G279="CIVIL","CIV-"&amp;TEXT(COUNTIF($G$3:G279,G279),"000"),IF(G279="GANIS","GAN-"&amp;TEXT(COUNTIF($G$3:G279,G279),"000"),IF(G279="ENGINEERING","ENG-"&amp;TEXT(COUNTIF($G$3:G279,G279),"000"),IF(G279="PRODUKSI","PRO-"&amp;TEXT(COUNTIF($G$3:G279,G279),"000"),IF(G279="SURVEY","SUR-"&amp;TEXT(COUNTIF($G$3:G279,G279),"000"),"")))))))))))</f>
        <v>GAN-011</v>
      </c>
      <c r="I279" s="3"/>
      <c r="J279" s="3"/>
    </row>
    <row r="280" spans="2:10" ht="15.5">
      <c r="B280" s="4" t="s">
        <v>557</v>
      </c>
      <c r="C280" s="11" t="s">
        <v>543</v>
      </c>
      <c r="D280" s="46"/>
      <c r="E280" s="40" t="s">
        <v>14</v>
      </c>
      <c r="F280" s="32"/>
      <c r="G280" s="21" t="s">
        <v>531</v>
      </c>
      <c r="H280" s="2" t="str">
        <f>IF(G280="","",IF(G280="EKSPLORASI","EXP-"&amp;TEXT(COUNTIF($G$3:G280,G280),"000"),IF(G280="HSE","HSE-"&amp;TEXT(COUNTIF($G$3:G280,G280),"000"),IF(G280="QAQC","QAQC-"&amp;TEXT(COUNTIF($G$3:G280,G280),"000"),IF(G280="HCGA","HCGA-"&amp;TEXT(COUNTIF($G$3:G280,G280),"000"),IF(G280="MAINTENANCE","MNT-"&amp;TEXT(COUNTIF($G$3:G280,G280),"000"),IF(G280="CIVIL","CIV-"&amp;TEXT(COUNTIF($G$3:G280,G280),"000"),IF(G280="GANIS","GAN-"&amp;TEXT(COUNTIF($G$3:G280,G280),"000"),IF(G280="ENGINEERING","ENG-"&amp;TEXT(COUNTIF($G$3:G280,G280),"000"),IF(G280="PRODUKSI","PRO-"&amp;TEXT(COUNTIF($G$3:G280,G280),"000"),IF(G280="SURVEY","SUR-"&amp;TEXT(COUNTIF($G$3:G280,G280),"000"),"")))))))))))</f>
        <v>GAN-012</v>
      </c>
      <c r="I280" s="3"/>
      <c r="J280" s="3"/>
    </row>
    <row r="281" spans="2:10" ht="15.5">
      <c r="B281" s="4" t="s">
        <v>559</v>
      </c>
      <c r="C281" s="11" t="s">
        <v>545</v>
      </c>
      <c r="D281" s="46"/>
      <c r="E281" s="40" t="s">
        <v>14</v>
      </c>
      <c r="F281" s="32"/>
      <c r="G281" s="21" t="s">
        <v>531</v>
      </c>
      <c r="H281" s="2" t="str">
        <f>IF(G281="","",IF(G281="EKSPLORASI","EXP-"&amp;TEXT(COUNTIF($G$3:G281,G281),"000"),IF(G281="HSE","HSE-"&amp;TEXT(COUNTIF($G$3:G281,G281),"000"),IF(G281="QAQC","QAQC-"&amp;TEXT(COUNTIF($G$3:G281,G281),"000"),IF(G281="HCGA","HCGA-"&amp;TEXT(COUNTIF($G$3:G281,G281),"000"),IF(G281="MAINTENANCE","MNT-"&amp;TEXT(COUNTIF($G$3:G281,G281),"000"),IF(G281="CIVIL","CIV-"&amp;TEXT(COUNTIF($G$3:G281,G281),"000"),IF(G281="GANIS","GAN-"&amp;TEXT(COUNTIF($G$3:G281,G281),"000"),IF(G281="ENGINEERING","ENG-"&amp;TEXT(COUNTIF($G$3:G281,G281),"000"),IF(G281="PRODUKSI","PRO-"&amp;TEXT(COUNTIF($G$3:G281,G281),"000"),IF(G281="SURVEY","SUR-"&amp;TEXT(COUNTIF($G$3:G281,G281),"000"),"")))))))))))</f>
        <v>GAN-013</v>
      </c>
      <c r="I281" s="3"/>
      <c r="J281" s="3"/>
    </row>
    <row r="282" spans="2:10" ht="15.5">
      <c r="B282" s="4" t="s">
        <v>560</v>
      </c>
      <c r="C282" s="11" t="s">
        <v>547</v>
      </c>
      <c r="D282" s="46"/>
      <c r="E282" s="40" t="s">
        <v>14</v>
      </c>
      <c r="F282" s="32"/>
      <c r="G282" s="21" t="s">
        <v>531</v>
      </c>
      <c r="H282" s="2" t="str">
        <f>IF(G282="","",IF(G282="EKSPLORASI","EXP-"&amp;TEXT(COUNTIF($G$3:G282,G282),"000"),IF(G282="HSE","HSE-"&amp;TEXT(COUNTIF($G$3:G282,G282),"000"),IF(G282="QAQC","QAQC-"&amp;TEXT(COUNTIF($G$3:G282,G282),"000"),IF(G282="HCGA","HCGA-"&amp;TEXT(COUNTIF($G$3:G282,G282),"000"),IF(G282="MAINTENANCE","MNT-"&amp;TEXT(COUNTIF($G$3:G282,G282),"000"),IF(G282="CIVIL","CIV-"&amp;TEXT(COUNTIF($G$3:G282,G282),"000"),IF(G282="GANIS","GAN-"&amp;TEXT(COUNTIF($G$3:G282,G282),"000"),IF(G282="ENGINEERING","ENG-"&amp;TEXT(COUNTIF($G$3:G282,G282),"000"),IF(G282="PRODUKSI","PRO-"&amp;TEXT(COUNTIF($G$3:G282,G282),"000"),IF(G282="SURVEY","SUR-"&amp;TEXT(COUNTIF($G$3:G282,G282),"000"),"")))))))))))</f>
        <v>GAN-014</v>
      </c>
      <c r="I282" s="3"/>
      <c r="J282" s="3"/>
    </row>
    <row r="283" spans="2:10" ht="15.5">
      <c r="B283" s="4" t="s">
        <v>562</v>
      </c>
      <c r="C283" s="11" t="s">
        <v>381</v>
      </c>
      <c r="D283" s="46"/>
      <c r="E283" s="40" t="s">
        <v>512</v>
      </c>
      <c r="F283" s="32"/>
      <c r="G283" s="21" t="s">
        <v>531</v>
      </c>
      <c r="H283" s="2" t="str">
        <f>IF(G283="","",IF(G283="EKSPLORASI","EXP-"&amp;TEXT(COUNTIF($G$3:G283,G283),"000"),IF(G283="HSE","HSE-"&amp;TEXT(COUNTIF($G$3:G283,G283),"000"),IF(G283="QAQC","QAQC-"&amp;TEXT(COUNTIF($G$3:G283,G283),"000"),IF(G283="HCGA","HCGA-"&amp;TEXT(COUNTIF($G$3:G283,G283),"000"),IF(G283="MAINTENANCE","MNT-"&amp;TEXT(COUNTIF($G$3:G283,G283),"000"),IF(G283="CIVIL","CIV-"&amp;TEXT(COUNTIF($G$3:G283,G283),"000"),IF(G283="GANIS","GAN-"&amp;TEXT(COUNTIF($G$3:G283,G283),"000"),IF(G283="ENGINEERING","ENG-"&amp;TEXT(COUNTIF($G$3:G283,G283),"000"),IF(G283="PRODUKSI","PRO-"&amp;TEXT(COUNTIF($G$3:G283,G283),"000"),IF(G283="SURVEY","SUR-"&amp;TEXT(COUNTIF($G$3:G283,G283),"000"),"")))))))))))</f>
        <v>GAN-015</v>
      </c>
      <c r="I283" s="3"/>
      <c r="J283" s="3"/>
    </row>
    <row r="284" spans="2:10" ht="15.5">
      <c r="B284" s="4" t="s">
        <v>564</v>
      </c>
      <c r="C284" s="11" t="s">
        <v>550</v>
      </c>
      <c r="D284" s="46"/>
      <c r="E284" s="40" t="s">
        <v>14</v>
      </c>
      <c r="F284" s="32"/>
      <c r="G284" s="21" t="s">
        <v>531</v>
      </c>
      <c r="H284" s="2" t="str">
        <f>IF(G284="","",IF(G284="EKSPLORASI","EXP-"&amp;TEXT(COUNTIF($G$3:G284,G284),"000"),IF(G284="HSE","HSE-"&amp;TEXT(COUNTIF($G$3:G284,G284),"000"),IF(G284="QAQC","QAQC-"&amp;TEXT(COUNTIF($G$3:G284,G284),"000"),IF(G284="HCGA","HCGA-"&amp;TEXT(COUNTIF($G$3:G284,G284),"000"),IF(G284="MAINTENANCE","MNT-"&amp;TEXT(COUNTIF($G$3:G284,G284),"000"),IF(G284="CIVIL","CIV-"&amp;TEXT(COUNTIF($G$3:G284,G284),"000"),IF(G284="GANIS","GAN-"&amp;TEXT(COUNTIF($G$3:G284,G284),"000"),IF(G284="ENGINEERING","ENG-"&amp;TEXT(COUNTIF($G$3:G284,G284),"000"),IF(G284="PRODUKSI","PRO-"&amp;TEXT(COUNTIF($G$3:G284,G284),"000"),IF(G284="SURVEY","SUR-"&amp;TEXT(COUNTIF($G$3:G284,G284),"000"),"")))))))))))</f>
        <v>GAN-016</v>
      </c>
      <c r="I284" s="3"/>
      <c r="J284" s="3"/>
    </row>
    <row r="285" spans="2:10" ht="15.5">
      <c r="B285" s="4" t="s">
        <v>566</v>
      </c>
      <c r="C285" s="20" t="s">
        <v>552</v>
      </c>
      <c r="D285" s="46">
        <v>30000</v>
      </c>
      <c r="E285" s="40" t="s">
        <v>14</v>
      </c>
      <c r="F285" s="32"/>
      <c r="G285" s="21" t="s">
        <v>531</v>
      </c>
      <c r="H285" s="2" t="str">
        <f>IF(G285="","",IF(G285="EKSPLORASI","EXP-"&amp;TEXT(COUNTIF($G$3:G285,G285),"000"),IF(G285="HSE","HSE-"&amp;TEXT(COUNTIF($G$3:G285,G285),"000"),IF(G285="QAQC","QAQC-"&amp;TEXT(COUNTIF($G$3:G285,G285),"000"),IF(G285="HCGA","HCGA-"&amp;TEXT(COUNTIF($G$3:G285,G285),"000"),IF(G285="MAINTENANCE","MNT-"&amp;TEXT(COUNTIF($G$3:G285,G285),"000"),IF(G285="CIVIL","CIV-"&amp;TEXT(COUNTIF($G$3:G285,G285),"000"),IF(G285="GANIS","GAN-"&amp;TEXT(COUNTIF($G$3:G285,G285),"000"),IF(G285="ENGINEERING","ENG-"&amp;TEXT(COUNTIF($G$3:G285,G285),"000"),IF(G285="PRODUKSI","PRO-"&amp;TEXT(COUNTIF($G$3:G285,G285),"000"),IF(G285="SURVEY","SUR-"&amp;TEXT(COUNTIF($G$3:G285,G285),"000"),"")))))))))))</f>
        <v>GAN-017</v>
      </c>
      <c r="I285" s="3"/>
      <c r="J285" s="3"/>
    </row>
    <row r="286" spans="2:10" ht="15.5">
      <c r="B286" s="4" t="s">
        <v>568</v>
      </c>
      <c r="C286" s="11" t="s">
        <v>554</v>
      </c>
      <c r="D286" s="46"/>
      <c r="E286" s="40" t="s">
        <v>14</v>
      </c>
      <c r="F286" s="32"/>
      <c r="G286" s="21" t="s">
        <v>531</v>
      </c>
      <c r="H286" s="2" t="str">
        <f>IF(G286="","",IF(G286="EKSPLORASI","EXP-"&amp;TEXT(COUNTIF($G$3:G286,G286),"000"),IF(G286="HSE","HSE-"&amp;TEXT(COUNTIF($G$3:G286,G286),"000"),IF(G286="QAQC","QAQC-"&amp;TEXT(COUNTIF($G$3:G286,G286),"000"),IF(G286="HCGA","HCGA-"&amp;TEXT(COUNTIF($G$3:G286,G286),"000"),IF(G286="MAINTENANCE","MNT-"&amp;TEXT(COUNTIF($G$3:G286,G286),"000"),IF(G286="CIVIL","CIV-"&amp;TEXT(COUNTIF($G$3:G286,G286),"000"),IF(G286="GANIS","GAN-"&amp;TEXT(COUNTIF($G$3:G286,G286),"000"),IF(G286="ENGINEERING","ENG-"&amp;TEXT(COUNTIF($G$3:G286,G286),"000"),IF(G286="PRODUKSI","PRO-"&amp;TEXT(COUNTIF($G$3:G286,G286),"000"),IF(G286="SURVEY","SUR-"&amp;TEXT(COUNTIF($G$3:G286,G286),"000"),"")))))))))))</f>
        <v>GAN-018</v>
      </c>
      <c r="I286" s="3"/>
      <c r="J286" s="3"/>
    </row>
    <row r="287" spans="2:10" ht="15.5">
      <c r="B287" s="4" t="s">
        <v>570</v>
      </c>
      <c r="C287" s="11" t="s">
        <v>556</v>
      </c>
      <c r="D287" s="46"/>
      <c r="E287" s="40" t="s">
        <v>14</v>
      </c>
      <c r="F287" s="32"/>
      <c r="G287" s="21" t="s">
        <v>531</v>
      </c>
      <c r="H287" s="2" t="str">
        <f>IF(G287="","",IF(G287="EKSPLORASI","EXP-"&amp;TEXT(COUNTIF($G$3:G287,G287),"000"),IF(G287="HSE","HSE-"&amp;TEXT(COUNTIF($G$3:G287,G287),"000"),IF(G287="QAQC","QAQC-"&amp;TEXT(COUNTIF($G$3:G287,G287),"000"),IF(G287="HCGA","HCGA-"&amp;TEXT(COUNTIF($G$3:G287,G287),"000"),IF(G287="MAINTENANCE","MNT-"&amp;TEXT(COUNTIF($G$3:G287,G287),"000"),IF(G287="CIVIL","CIV-"&amp;TEXT(COUNTIF($G$3:G287,G287),"000"),IF(G287="GANIS","GAN-"&amp;TEXT(COUNTIF($G$3:G287,G287),"000"),IF(G287="ENGINEERING","ENG-"&amp;TEXT(COUNTIF($G$3:G287,G287),"000"),IF(G287="PRODUKSI","PRO-"&amp;TEXT(COUNTIF($G$3:G287,G287),"000"),IF(G287="SURVEY","SUR-"&amp;TEXT(COUNTIF($G$3:G287,G287),"000"),"")))))))))))</f>
        <v>GAN-019</v>
      </c>
      <c r="I287" s="3"/>
      <c r="J287" s="3"/>
    </row>
    <row r="288" spans="2:10" ht="15.5">
      <c r="B288" s="4" t="s">
        <v>572</v>
      </c>
      <c r="C288" s="11" t="s">
        <v>558</v>
      </c>
      <c r="D288" s="46"/>
      <c r="E288" s="40" t="s">
        <v>14</v>
      </c>
      <c r="F288" s="32"/>
      <c r="G288" s="21" t="s">
        <v>531</v>
      </c>
      <c r="H288" s="2" t="str">
        <f>IF(G288="","",IF(G288="EKSPLORASI","EXP-"&amp;TEXT(COUNTIF($G$3:G288,G288),"000"),IF(G288="HSE","HSE-"&amp;TEXT(COUNTIF($G$3:G288,G288),"000"),IF(G288="QAQC","QAQC-"&amp;TEXT(COUNTIF($G$3:G288,G288),"000"),IF(G288="HCGA","HCGA-"&amp;TEXT(COUNTIF($G$3:G288,G288),"000"),IF(G288="MAINTENANCE","MNT-"&amp;TEXT(COUNTIF($G$3:G288,G288),"000"),IF(G288="CIVIL","CIV-"&amp;TEXT(COUNTIF($G$3:G288,G288),"000"),IF(G288="GANIS","GAN-"&amp;TEXT(COUNTIF($G$3:G288,G288),"000"),IF(G288="ENGINEERING","ENG-"&amp;TEXT(COUNTIF($G$3:G288,G288),"000"),IF(G288="PRODUKSI","PRO-"&amp;TEXT(COUNTIF($G$3:G288,G288),"000"),IF(G288="SURVEY","SUR-"&amp;TEXT(COUNTIF($G$3:G288,G288),"000"),"")))))))))))</f>
        <v>GAN-020</v>
      </c>
      <c r="I288" s="3"/>
      <c r="J288" s="3"/>
    </row>
    <row r="289" spans="2:10" ht="15.5">
      <c r="B289" s="4" t="s">
        <v>574</v>
      </c>
      <c r="C289" s="11" t="s">
        <v>406</v>
      </c>
      <c r="D289" s="46"/>
      <c r="E289" s="40" t="s">
        <v>14</v>
      </c>
      <c r="F289" s="32"/>
      <c r="G289" s="21" t="s">
        <v>531</v>
      </c>
      <c r="H289" s="2" t="str">
        <f>IF(G289="","",IF(G289="EKSPLORASI","EXP-"&amp;TEXT(COUNTIF($G$3:G289,G289),"000"),IF(G289="HSE","HSE-"&amp;TEXT(COUNTIF($G$3:G289,G289),"000"),IF(G289="QAQC","QAQC-"&amp;TEXT(COUNTIF($G$3:G289,G289),"000"),IF(G289="HCGA","HCGA-"&amp;TEXT(COUNTIF($G$3:G289,G289),"000"),IF(G289="MAINTENANCE","MNT-"&amp;TEXT(COUNTIF($G$3:G289,G289),"000"),IF(G289="CIVIL","CIV-"&amp;TEXT(COUNTIF($G$3:G289,G289),"000"),IF(G289="GANIS","GAN-"&amp;TEXT(COUNTIF($G$3:G289,G289),"000"),IF(G289="ENGINEERING","ENG-"&amp;TEXT(COUNTIF($G$3:G289,G289),"000"),IF(G289="PRODUKSI","PRO-"&amp;TEXT(COUNTIF($G$3:G289,G289),"000"),IF(G289="SURVEY","SUR-"&amp;TEXT(COUNTIF($G$3:G289,G289),"000"),"")))))))))))</f>
        <v>GAN-021</v>
      </c>
      <c r="I289" s="3"/>
      <c r="J289" s="3"/>
    </row>
    <row r="290" spans="2:10" ht="15.5">
      <c r="B290" s="4" t="s">
        <v>575</v>
      </c>
      <c r="C290" s="11" t="s">
        <v>561</v>
      </c>
      <c r="D290" s="46"/>
      <c r="E290" s="40" t="s">
        <v>14</v>
      </c>
      <c r="F290" s="32"/>
      <c r="G290" s="21" t="s">
        <v>531</v>
      </c>
      <c r="H290" s="2" t="str">
        <f>IF(G290="","",IF(G290="EKSPLORASI","EXP-"&amp;TEXT(COUNTIF($G$3:G290,G290),"000"),IF(G290="HSE","HSE-"&amp;TEXT(COUNTIF($G$3:G290,G290),"000"),IF(G290="QAQC","QAQC-"&amp;TEXT(COUNTIF($G$3:G290,G290),"000"),IF(G290="HCGA","HCGA-"&amp;TEXT(COUNTIF($G$3:G290,G290),"000"),IF(G290="MAINTENANCE","MNT-"&amp;TEXT(COUNTIF($G$3:G290,G290),"000"),IF(G290="CIVIL","CIV-"&amp;TEXT(COUNTIF($G$3:G290,G290),"000"),IF(G290="GANIS","GAN-"&amp;TEXT(COUNTIF($G$3:G290,G290),"000"),IF(G290="ENGINEERING","ENG-"&amp;TEXT(COUNTIF($G$3:G290,G290),"000"),IF(G290="PRODUKSI","PRO-"&amp;TEXT(COUNTIF($G$3:G290,G290),"000"),IF(G290="SURVEY","SUR-"&amp;TEXT(COUNTIF($G$3:G290,G290),"000"),"")))))))))))</f>
        <v>GAN-022</v>
      </c>
      <c r="I290" s="3"/>
      <c r="J290" s="3"/>
    </row>
    <row r="291" spans="2:10" ht="15.5">
      <c r="B291" s="4" t="s">
        <v>577</v>
      </c>
      <c r="C291" s="11" t="s">
        <v>563</v>
      </c>
      <c r="D291" s="46"/>
      <c r="E291" s="40" t="s">
        <v>14</v>
      </c>
      <c r="F291" s="32"/>
      <c r="G291" s="21" t="s">
        <v>531</v>
      </c>
      <c r="H291" s="2" t="str">
        <f>IF(G291="","",IF(G291="EKSPLORASI","EXP-"&amp;TEXT(COUNTIF($G$3:G291,G291),"000"),IF(G291="HSE","HSE-"&amp;TEXT(COUNTIF($G$3:G291,G291),"000"),IF(G291="QAQC","QAQC-"&amp;TEXT(COUNTIF($G$3:G291,G291),"000"),IF(G291="HCGA","HCGA-"&amp;TEXT(COUNTIF($G$3:G291,G291),"000"),IF(G291="MAINTENANCE","MNT-"&amp;TEXT(COUNTIF($G$3:G291,G291),"000"),IF(G291="CIVIL","CIV-"&amp;TEXT(COUNTIF($G$3:G291,G291),"000"),IF(G291="GANIS","GAN-"&amp;TEXT(COUNTIF($G$3:G291,G291),"000"),IF(G291="ENGINEERING","ENG-"&amp;TEXT(COUNTIF($G$3:G291,G291),"000"),IF(G291="PRODUKSI","PRO-"&amp;TEXT(COUNTIF($G$3:G291,G291),"000"),IF(G291="SURVEY","SUR-"&amp;TEXT(COUNTIF($G$3:G291,G291),"000"),"")))))))))))</f>
        <v>GAN-023</v>
      </c>
      <c r="I291" s="3"/>
      <c r="J291" s="3"/>
    </row>
    <row r="292" spans="2:10" ht="15.5">
      <c r="B292" s="4" t="s">
        <v>578</v>
      </c>
      <c r="C292" s="11" t="s">
        <v>565</v>
      </c>
      <c r="D292" s="46"/>
      <c r="E292" s="40" t="s">
        <v>14</v>
      </c>
      <c r="F292" s="32"/>
      <c r="G292" s="21" t="s">
        <v>531</v>
      </c>
      <c r="H292" s="2" t="str">
        <f>IF(G292="","",IF(G292="EKSPLORASI","EXP-"&amp;TEXT(COUNTIF($G$3:G292,G292),"000"),IF(G292="HSE","HSE-"&amp;TEXT(COUNTIF($G$3:G292,G292),"000"),IF(G292="QAQC","QAQC-"&amp;TEXT(COUNTIF($G$3:G292,G292),"000"),IF(G292="HCGA","HCGA-"&amp;TEXT(COUNTIF($G$3:G292,G292),"000"),IF(G292="MAINTENANCE","MNT-"&amp;TEXT(COUNTIF($G$3:G292,G292),"000"),IF(G292="CIVIL","CIV-"&amp;TEXT(COUNTIF($G$3:G292,G292),"000"),IF(G292="GANIS","GAN-"&amp;TEXT(COUNTIF($G$3:G292,G292),"000"),IF(G292="ENGINEERING","ENG-"&amp;TEXT(COUNTIF($G$3:G292,G292),"000"),IF(G292="PRODUKSI","PRO-"&amp;TEXT(COUNTIF($G$3:G292,G292),"000"),IF(G292="SURVEY","SUR-"&amp;TEXT(COUNTIF($G$3:G292,G292),"000"),"")))))))))))</f>
        <v>GAN-024</v>
      </c>
      <c r="I292" s="3"/>
      <c r="J292" s="3"/>
    </row>
    <row r="293" spans="2:10" ht="15.5">
      <c r="B293" s="4" t="s">
        <v>580</v>
      </c>
      <c r="C293" s="11" t="s">
        <v>567</v>
      </c>
      <c r="D293" s="46"/>
      <c r="E293" s="40" t="s">
        <v>14</v>
      </c>
      <c r="F293" s="32"/>
      <c r="G293" s="21" t="s">
        <v>531</v>
      </c>
      <c r="H293" s="2" t="str">
        <f>IF(G293="","",IF(G293="EKSPLORASI","EXP-"&amp;TEXT(COUNTIF($G$3:G293,G293),"000"),IF(G293="HSE","HSE-"&amp;TEXT(COUNTIF($G$3:G293,G293),"000"),IF(G293="QAQC","QAQC-"&amp;TEXT(COUNTIF($G$3:G293,G293),"000"),IF(G293="HCGA","HCGA-"&amp;TEXT(COUNTIF($G$3:G293,G293),"000"),IF(G293="MAINTENANCE","MNT-"&amp;TEXT(COUNTIF($G$3:G293,G293),"000"),IF(G293="CIVIL","CIV-"&amp;TEXT(COUNTIF($G$3:G293,G293),"000"),IF(G293="GANIS","GAN-"&amp;TEXT(COUNTIF($G$3:G293,G293),"000"),IF(G293="ENGINEERING","ENG-"&amp;TEXT(COUNTIF($G$3:G293,G293),"000"),IF(G293="PRODUKSI","PRO-"&amp;TEXT(COUNTIF($G$3:G293,G293),"000"),IF(G293="SURVEY","SUR-"&amp;TEXT(COUNTIF($G$3:G293,G293),"000"),"")))))))))))</f>
        <v>GAN-025</v>
      </c>
      <c r="I293" s="3"/>
      <c r="J293" s="3"/>
    </row>
    <row r="294" spans="2:10" ht="15.5">
      <c r="B294" s="4" t="s">
        <v>582</v>
      </c>
      <c r="C294" s="11" t="s">
        <v>569</v>
      </c>
      <c r="D294" s="46"/>
      <c r="E294" s="40" t="s">
        <v>74</v>
      </c>
      <c r="F294" s="32"/>
      <c r="G294" s="21" t="s">
        <v>531</v>
      </c>
      <c r="H294" s="2" t="str">
        <f>IF(G294="","",IF(G294="EKSPLORASI","EXP-"&amp;TEXT(COUNTIF($G$3:G294,G294),"000"),IF(G294="HSE","HSE-"&amp;TEXT(COUNTIF($G$3:G294,G294),"000"),IF(G294="QAQC","QAQC-"&amp;TEXT(COUNTIF($G$3:G294,G294),"000"),IF(G294="HCGA","HCGA-"&amp;TEXT(COUNTIF($G$3:G294,G294),"000"),IF(G294="MAINTENANCE","MNT-"&amp;TEXT(COUNTIF($G$3:G294,G294),"000"),IF(G294="CIVIL","CIV-"&amp;TEXT(COUNTIF($G$3:G294,G294),"000"),IF(G294="GANIS","GAN-"&amp;TEXT(COUNTIF($G$3:G294,G294),"000"),IF(G294="ENGINEERING","ENG-"&amp;TEXT(COUNTIF($G$3:G294,G294),"000"),IF(G294="PRODUKSI","PRO-"&amp;TEXT(COUNTIF($G$3:G294,G294),"000"),IF(G294="SURVEY","SUR-"&amp;TEXT(COUNTIF($G$3:G294,G294),"000"),"")))))))))))</f>
        <v>GAN-026</v>
      </c>
      <c r="I294" s="3"/>
      <c r="J294" s="3"/>
    </row>
    <row r="295" spans="2:10" ht="15.5">
      <c r="B295" s="4" t="s">
        <v>584</v>
      </c>
      <c r="C295" s="11" t="s">
        <v>571</v>
      </c>
      <c r="D295" s="46"/>
      <c r="E295" s="40" t="s">
        <v>74</v>
      </c>
      <c r="F295" s="32"/>
      <c r="G295" s="21" t="s">
        <v>531</v>
      </c>
      <c r="H295" s="2" t="str">
        <f>IF(G295="","",IF(G295="EKSPLORASI","EXP-"&amp;TEXT(COUNTIF($G$3:G295,G295),"000"),IF(G295="HSE","HSE-"&amp;TEXT(COUNTIF($G$3:G295,G295),"000"),IF(G295="QAQC","QAQC-"&amp;TEXT(COUNTIF($G$3:G295,G295),"000"),IF(G295="HCGA","HCGA-"&amp;TEXT(COUNTIF($G$3:G295,G295),"000"),IF(G295="MAINTENANCE","MNT-"&amp;TEXT(COUNTIF($G$3:G295,G295),"000"),IF(G295="CIVIL","CIV-"&amp;TEXT(COUNTIF($G$3:G295,G295),"000"),IF(G295="GANIS","GAN-"&amp;TEXT(COUNTIF($G$3:G295,G295),"000"),IF(G295="ENGINEERING","ENG-"&amp;TEXT(COUNTIF($G$3:G295,G295),"000"),IF(G295="PRODUKSI","PRO-"&amp;TEXT(COUNTIF($G$3:G295,G295),"000"),IF(G295="SURVEY","SUR-"&amp;TEXT(COUNTIF($G$3:G295,G295),"000"),"")))))))))))</f>
        <v>GAN-027</v>
      </c>
      <c r="I295" s="3"/>
      <c r="J295" s="3"/>
    </row>
    <row r="296" spans="2:10" ht="15.5">
      <c r="B296" s="4" t="s">
        <v>585</v>
      </c>
      <c r="C296" s="11" t="s">
        <v>573</v>
      </c>
      <c r="D296" s="46"/>
      <c r="E296" s="40" t="s">
        <v>74</v>
      </c>
      <c r="F296" s="32"/>
      <c r="G296" s="21" t="s">
        <v>531</v>
      </c>
      <c r="H296" s="2" t="str">
        <f>IF(G296="","",IF(G296="EKSPLORASI","EXP-"&amp;TEXT(COUNTIF($G$3:G296,G296),"000"),IF(G296="HSE","HSE-"&amp;TEXT(COUNTIF($G$3:G296,G296),"000"),IF(G296="QAQC","QAQC-"&amp;TEXT(COUNTIF($G$3:G296,G296),"000"),IF(G296="HCGA","HCGA-"&amp;TEXT(COUNTIF($G$3:G296,G296),"000"),IF(G296="MAINTENANCE","MNT-"&amp;TEXT(COUNTIF($G$3:G296,G296),"000"),IF(G296="CIVIL","CIV-"&amp;TEXT(COUNTIF($G$3:G296,G296),"000"),IF(G296="GANIS","GAN-"&amp;TEXT(COUNTIF($G$3:G296,G296),"000"),IF(G296="ENGINEERING","ENG-"&amp;TEXT(COUNTIF($G$3:G296,G296),"000"),IF(G296="PRODUKSI","PRO-"&amp;TEXT(COUNTIF($G$3:G296,G296),"000"),IF(G296="SURVEY","SUR-"&amp;TEXT(COUNTIF($G$3:G296,G296),"000"),"")))))))))))</f>
        <v>GAN-028</v>
      </c>
      <c r="I296" s="3"/>
      <c r="J296" s="3"/>
    </row>
    <row r="297" spans="2:10" ht="15.5">
      <c r="B297" s="4" t="s">
        <v>588</v>
      </c>
      <c r="C297" s="11" t="s">
        <v>1121</v>
      </c>
      <c r="D297" s="46">
        <v>50000</v>
      </c>
      <c r="E297" s="40" t="s">
        <v>14</v>
      </c>
      <c r="F297" s="32"/>
      <c r="G297" s="21" t="s">
        <v>531</v>
      </c>
      <c r="H297" s="2" t="str">
        <f>IF(G297="","",IF(G297="EKSPLORASI","EXP-"&amp;TEXT(COUNTIF($G$3:G297,G297),"000"),IF(G297="HSE","HSE-"&amp;TEXT(COUNTIF($G$3:G297,G297),"000"),IF(G297="QAQC","QAQC-"&amp;TEXT(COUNTIF($G$3:G297,G297),"000"),IF(G297="HCGA","HCGA-"&amp;TEXT(COUNTIF($G$3:G297,G297),"000"),IF(G297="MAINTENANCE","MNT-"&amp;TEXT(COUNTIF($G$3:G297,G297),"000"),IF(G297="CIVIL","CIV-"&amp;TEXT(COUNTIF($G$3:G297,G297),"000"),IF(G297="GANIS","GAN-"&amp;TEXT(COUNTIF($G$3:G297,G297),"000"),IF(G297="ENGINEERING","ENG-"&amp;TEXT(COUNTIF($G$3:G297,G297),"000"),IF(G297="PRODUKSI","PRO-"&amp;TEXT(COUNTIF($G$3:G297,G297),"000"),IF(G297="SURVEY","SUR-"&amp;TEXT(COUNTIF($G$3:G297,G297),"000"),"")))))))))))</f>
        <v>GAN-029</v>
      </c>
      <c r="I297" s="3"/>
      <c r="J297" s="3"/>
    </row>
    <row r="298" spans="2:10" ht="15.5">
      <c r="B298" s="4" t="s">
        <v>590</v>
      </c>
      <c r="C298" s="11" t="s">
        <v>576</v>
      </c>
      <c r="D298" s="46"/>
      <c r="E298" s="40" t="s">
        <v>14</v>
      </c>
      <c r="F298" s="32"/>
      <c r="G298" s="21" t="s">
        <v>531</v>
      </c>
      <c r="H298" s="2" t="str">
        <f>IF(G298="","",IF(G298="EKSPLORASI","EXP-"&amp;TEXT(COUNTIF($G$3:G298,G298),"000"),IF(G298="HSE","HSE-"&amp;TEXT(COUNTIF($G$3:G298,G298),"000"),IF(G298="QAQC","QAQC-"&amp;TEXT(COUNTIF($G$3:G298,G298),"000"),IF(G298="HCGA","HCGA-"&amp;TEXT(COUNTIF($G$3:G298,G298),"000"),IF(G298="MAINTENANCE","MNT-"&amp;TEXT(COUNTIF($G$3:G298,G298),"000"),IF(G298="CIVIL","CIV-"&amp;TEXT(COUNTIF($G$3:G298,G298),"000"),IF(G298="GANIS","GAN-"&amp;TEXT(COUNTIF($G$3:G298,G298),"000"),IF(G298="ENGINEERING","ENG-"&amp;TEXT(COUNTIF($G$3:G298,G298),"000"),IF(G298="PRODUKSI","PRO-"&amp;TEXT(COUNTIF($G$3:G298,G298),"000"),IF(G298="SURVEY","SUR-"&amp;TEXT(COUNTIF($G$3:G298,G298),"000"),"")))))))))))</f>
        <v>GAN-030</v>
      </c>
      <c r="I298" s="3"/>
      <c r="J298" s="3"/>
    </row>
    <row r="299" spans="2:10" ht="15.5">
      <c r="B299" s="4" t="s">
        <v>592</v>
      </c>
      <c r="C299" s="11" t="s">
        <v>33</v>
      </c>
      <c r="D299" s="46">
        <v>50000</v>
      </c>
      <c r="E299" s="40" t="s">
        <v>34</v>
      </c>
      <c r="F299" s="34" t="s">
        <v>1085</v>
      </c>
      <c r="G299" s="21" t="s">
        <v>531</v>
      </c>
      <c r="H299" s="2" t="str">
        <f>IF(G299="","",IF(G299="EKSPLORASI","EXP-"&amp;TEXT(COUNTIF($G$3:G299,G299),"000"),IF(G299="HSE","HSE-"&amp;TEXT(COUNTIF($G$3:G299,G299),"000"),IF(G299="QAQC","QAQC-"&amp;TEXT(COUNTIF($G$3:G299,G299),"000"),IF(G299="HCGA","HCGA-"&amp;TEXT(COUNTIF($G$3:G299,G299),"000"),IF(G299="MAINTENANCE","MNT-"&amp;TEXT(COUNTIF($G$3:G299,G299),"000"),IF(G299="CIVIL","CIV-"&amp;TEXT(COUNTIF($G$3:G299,G299),"000"),IF(G299="GANIS","GAN-"&amp;TEXT(COUNTIF($G$3:G299,G299),"000"),IF(G299="ENGINEERING","ENG-"&amp;TEXT(COUNTIF($G$3:G299,G299),"000"),IF(G299="PRODUKSI","PRO-"&amp;TEXT(COUNTIF($G$3:G299,G299),"000"),IF(G299="SURVEY","SUR-"&amp;TEXT(COUNTIF($G$3:G299,G299),"000"),"")))))))))))</f>
        <v>GAN-031</v>
      </c>
      <c r="I299" s="3"/>
      <c r="J299" s="3"/>
    </row>
    <row r="300" spans="2:10" ht="15.5">
      <c r="B300" s="4" t="s">
        <v>593</v>
      </c>
      <c r="C300" s="11" t="s">
        <v>579</v>
      </c>
      <c r="D300" s="46">
        <v>100000</v>
      </c>
      <c r="E300" s="40" t="s">
        <v>14</v>
      </c>
      <c r="F300" s="32"/>
      <c r="G300" s="21" t="s">
        <v>531</v>
      </c>
      <c r="H300" s="2" t="str">
        <f>IF(G300="","",IF(G300="EKSPLORASI","EXP-"&amp;TEXT(COUNTIF($G$3:G300,G300),"000"),IF(G300="HSE","HSE-"&amp;TEXT(COUNTIF($G$3:G300,G300),"000"),IF(G300="QAQC","QAQC-"&amp;TEXT(COUNTIF($G$3:G300,G300),"000"),IF(G300="HCGA","HCGA-"&amp;TEXT(COUNTIF($G$3:G300,G300),"000"),IF(G300="MAINTENANCE","MNT-"&amp;TEXT(COUNTIF($G$3:G300,G300),"000"),IF(G300="CIVIL","CIV-"&amp;TEXT(COUNTIF($G$3:G300,G300),"000"),IF(G300="GANIS","GAN-"&amp;TEXT(COUNTIF($G$3:G300,G300),"000"),IF(G300="ENGINEERING","ENG-"&amp;TEXT(COUNTIF($G$3:G300,G300),"000"),IF(G300="PRODUKSI","PRO-"&amp;TEXT(COUNTIF($G$3:G300,G300),"000"),IF(G300="SURVEY","SUR-"&amp;TEXT(COUNTIF($G$3:G300,G300),"000"),"")))))))))))</f>
        <v>GAN-032</v>
      </c>
      <c r="I300" s="3"/>
      <c r="J300" s="3"/>
    </row>
    <row r="301" spans="2:10" ht="15.5">
      <c r="B301" s="4" t="s">
        <v>595</v>
      </c>
      <c r="C301" s="11" t="s">
        <v>581</v>
      </c>
      <c r="D301" s="46"/>
      <c r="E301" s="40" t="s">
        <v>14</v>
      </c>
      <c r="F301" s="32"/>
      <c r="G301" s="21" t="s">
        <v>531</v>
      </c>
      <c r="H301" s="2" t="str">
        <f>IF(G301="","",IF(G301="EKSPLORASI","EXP-"&amp;TEXT(COUNTIF($G$3:G301,G301),"000"),IF(G301="HSE","HSE-"&amp;TEXT(COUNTIF($G$3:G301,G301),"000"),IF(G301="QAQC","QAQC-"&amp;TEXT(COUNTIF($G$3:G301,G301),"000"),IF(G301="HCGA","HCGA-"&amp;TEXT(COUNTIF($G$3:G301,G301),"000"),IF(G301="MAINTENANCE","MNT-"&amp;TEXT(COUNTIF($G$3:G301,G301),"000"),IF(G301="CIVIL","CIV-"&amp;TEXT(COUNTIF($G$3:G301,G301),"000"),IF(G301="GANIS","GAN-"&amp;TEXT(COUNTIF($G$3:G301,G301),"000"),IF(G301="ENGINEERING","ENG-"&amp;TEXT(COUNTIF($G$3:G301,G301),"000"),IF(G301="PRODUKSI","PRO-"&amp;TEXT(COUNTIF($G$3:G301,G301),"000"),IF(G301="SURVEY","SUR-"&amp;TEXT(COUNTIF($G$3:G301,G301),"000"),"")))))))))))</f>
        <v>GAN-033</v>
      </c>
      <c r="I301" s="3"/>
      <c r="J301" s="3"/>
    </row>
    <row r="302" spans="2:10" ht="15.5">
      <c r="B302" s="4" t="s">
        <v>597</v>
      </c>
      <c r="C302" s="11" t="s">
        <v>583</v>
      </c>
      <c r="D302" s="46"/>
      <c r="E302" s="40" t="s">
        <v>14</v>
      </c>
      <c r="F302" s="32"/>
      <c r="G302" s="21" t="s">
        <v>531</v>
      </c>
      <c r="H302" s="2" t="str">
        <f>IF(G302="","",IF(G302="EKSPLORASI","EXP-"&amp;TEXT(COUNTIF($G$3:G302,G302),"000"),IF(G302="HSE","HSE-"&amp;TEXT(COUNTIF($G$3:G302,G302),"000"),IF(G302="QAQC","QAQC-"&amp;TEXT(COUNTIF($G$3:G302,G302),"000"),IF(G302="HCGA","HCGA-"&amp;TEXT(COUNTIF($G$3:G302,G302),"000"),IF(G302="MAINTENANCE","MNT-"&amp;TEXT(COUNTIF($G$3:G302,G302),"000"),IF(G302="CIVIL","CIV-"&amp;TEXT(COUNTIF($G$3:G302,G302),"000"),IF(G302="GANIS","GAN-"&amp;TEXT(COUNTIF($G$3:G302,G302),"000"),IF(G302="ENGINEERING","ENG-"&amp;TEXT(COUNTIF($G$3:G302,G302),"000"),IF(G302="PRODUKSI","PRO-"&amp;TEXT(COUNTIF($G$3:G302,G302),"000"),IF(G302="SURVEY","SUR-"&amp;TEXT(COUNTIF($G$3:G302,G302),"000"),"")))))))))))</f>
        <v>GAN-034</v>
      </c>
      <c r="I302" s="3"/>
      <c r="J302" s="3"/>
    </row>
    <row r="303" spans="2:10" ht="15.5">
      <c r="B303" s="4" t="s">
        <v>599</v>
      </c>
      <c r="C303" s="11" t="s">
        <v>150</v>
      </c>
      <c r="D303" s="46"/>
      <c r="E303" s="40" t="s">
        <v>235</v>
      </c>
      <c r="F303" s="32"/>
      <c r="G303" s="21" t="s">
        <v>531</v>
      </c>
      <c r="H303" s="2" t="str">
        <f>IF(G303="","",IF(G303="EKSPLORASI","EXP-"&amp;TEXT(COUNTIF($G$3:G303,G303),"000"),IF(G303="HSE","HSE-"&amp;TEXT(COUNTIF($G$3:G303,G303),"000"),IF(G303="QAQC","QAQC-"&amp;TEXT(COUNTIF($G$3:G303,G303),"000"),IF(G303="HCGA","HCGA-"&amp;TEXT(COUNTIF($G$3:G303,G303),"000"),IF(G303="MAINTENANCE","MNT-"&amp;TEXT(COUNTIF($G$3:G303,G303),"000"),IF(G303="CIVIL","CIV-"&amp;TEXT(COUNTIF($G$3:G303,G303),"000"),IF(G303="GANIS","GAN-"&amp;TEXT(COUNTIF($G$3:G303,G303),"000"),IF(G303="ENGINEERING","ENG-"&amp;TEXT(COUNTIF($G$3:G303,G303),"000"),IF(G303="PRODUKSI","PRO-"&amp;TEXT(COUNTIF($G$3:G303,G303),"000"),IF(G303="SURVEY","SUR-"&amp;TEXT(COUNTIF($G$3:G303,G303),"000"),"")))))))))))</f>
        <v>GAN-035</v>
      </c>
      <c r="I303" s="3"/>
      <c r="J303" s="3"/>
    </row>
    <row r="304" spans="2:10" ht="15.5">
      <c r="B304" s="4" t="s">
        <v>601</v>
      </c>
      <c r="C304" s="11" t="s">
        <v>1096</v>
      </c>
      <c r="D304" s="46">
        <v>55000</v>
      </c>
      <c r="E304" s="40" t="s">
        <v>139</v>
      </c>
      <c r="F304" s="32" t="s">
        <v>1097</v>
      </c>
      <c r="G304" s="21" t="s">
        <v>587</v>
      </c>
      <c r="H304" s="2" t="str">
        <f>IF(G304="","",IF(G304="EKSPLORASI","EXP-"&amp;TEXT(COUNTIF($G$3:G304,G304),"000"),IF(G304="HSE","HSE-"&amp;TEXT(COUNTIF($G$3:G304,G304),"000"),IF(G304="QAQC","QAQC-"&amp;TEXT(COUNTIF($G$3:G304,G304),"000"),IF(G304="HCGA","HCGA-"&amp;TEXT(COUNTIF($G$3:G304,G304),"000"),IF(G304="MAINTENANCE","MNT-"&amp;TEXT(COUNTIF($G$3:G304,G304),"000"),IF(G304="CIVIL","CIV-"&amp;TEXT(COUNTIF($G$3:G304,G304),"000"),IF(G304="GANIS","GAN-"&amp;TEXT(COUNTIF($G$3:G304,G304),"000"),IF(G304="ENGINEERING","ENG-"&amp;TEXT(COUNTIF($G$3:G304,G304),"000"),IF(G304="PRODUKSI","PRO-"&amp;TEXT(COUNTIF($G$3:G304,G304),"000"),IF(G304="SURVEY","SUR-"&amp;TEXT(COUNTIF($G$3:G304,G304),"000"),"")))))))))))</f>
        <v>HCGA-001</v>
      </c>
      <c r="I304" s="3"/>
      <c r="J304" s="3"/>
    </row>
    <row r="305" spans="2:10" ht="15.5">
      <c r="B305" s="4" t="s">
        <v>603</v>
      </c>
      <c r="C305" s="11" t="s">
        <v>1104</v>
      </c>
      <c r="D305" s="46">
        <v>30000</v>
      </c>
      <c r="E305" s="40" t="s">
        <v>11</v>
      </c>
      <c r="F305" s="32"/>
      <c r="G305" s="21" t="s">
        <v>587</v>
      </c>
      <c r="H305" s="2" t="str">
        <f>IF(G305="","",IF(G305="EKSPLORASI","EXP-"&amp;TEXT(COUNTIF($G$3:G305,G305),"000"),IF(G305="HSE","HSE-"&amp;TEXT(COUNTIF($G$3:G305,G305),"000"),IF(G305="QAQC","QAQC-"&amp;TEXT(COUNTIF($G$3:G305,G305),"000"),IF(G305="HCGA","HCGA-"&amp;TEXT(COUNTIF($G$3:G305,G305),"000"),IF(G305="MAINTENANCE","MNT-"&amp;TEXT(COUNTIF($G$3:G305,G305),"000"),IF(G305="CIVIL","CIV-"&amp;TEXT(COUNTIF($G$3:G305,G305),"000"),IF(G305="GANIS","GAN-"&amp;TEXT(COUNTIF($G$3:G305,G305),"000"),IF(G305="ENGINEERING","ENG-"&amp;TEXT(COUNTIF($G$3:G305,G305),"000"),IF(G305="PRODUKSI","PRO-"&amp;TEXT(COUNTIF($G$3:G305,G305),"000"),IF(G305="SURVEY","SUR-"&amp;TEXT(COUNTIF($G$3:G305,G305),"000"),"")))))))))))</f>
        <v>HCGA-002</v>
      </c>
      <c r="I305" s="3"/>
      <c r="J305" s="3"/>
    </row>
    <row r="306" spans="2:10" ht="15.5">
      <c r="B306" s="4" t="s">
        <v>604</v>
      </c>
      <c r="C306" s="11" t="s">
        <v>1105</v>
      </c>
      <c r="D306" s="46">
        <v>90000</v>
      </c>
      <c r="E306" s="40" t="s">
        <v>1115</v>
      </c>
      <c r="F306" s="32"/>
      <c r="G306" s="21" t="s">
        <v>587</v>
      </c>
      <c r="H306" s="2" t="str">
        <f>IF(G306="","",IF(G306="EKSPLORASI","EXP-"&amp;TEXT(COUNTIF($G$3:G306,G306),"000"),IF(G306="HSE","HSE-"&amp;TEXT(COUNTIF($G$3:G306,G306),"000"),IF(G306="QAQC","QAQC-"&amp;TEXT(COUNTIF($G$3:G306,G306),"000"),IF(G306="HCGA","HCGA-"&amp;TEXT(COUNTIF($G$3:G306,G306),"000"),IF(G306="MAINTENANCE","MNT-"&amp;TEXT(COUNTIF($G$3:G306,G306),"000"),IF(G306="CIVIL","CIV-"&amp;TEXT(COUNTIF($G$3:G306,G306),"000"),IF(G306="GANIS","GAN-"&amp;TEXT(COUNTIF($G$3:G306,G306),"000"),IF(G306="ENGINEERING","ENG-"&amp;TEXT(COUNTIF($G$3:G306,G306),"000"),IF(G306="PRODUKSI","PRO-"&amp;TEXT(COUNTIF($G$3:G306,G306),"000"),IF(G306="SURVEY","SUR-"&amp;TEXT(COUNTIF($G$3:G306,G306),"000"),"")))))))))))</f>
        <v>HCGA-003</v>
      </c>
      <c r="I306" s="3"/>
      <c r="J306" s="3"/>
    </row>
    <row r="307" spans="2:10" ht="15.5">
      <c r="B307" s="4" t="s">
        <v>606</v>
      </c>
      <c r="C307" s="11" t="s">
        <v>1106</v>
      </c>
      <c r="D307" s="46">
        <v>65000</v>
      </c>
      <c r="E307" s="40" t="s">
        <v>1115</v>
      </c>
      <c r="F307" s="32"/>
      <c r="G307" s="21" t="s">
        <v>587</v>
      </c>
      <c r="H307" s="2" t="str">
        <f>IF(G307="","",IF(G307="EKSPLORASI","EXP-"&amp;TEXT(COUNTIF($G$3:G307,G307),"000"),IF(G307="HSE","HSE-"&amp;TEXT(COUNTIF($G$3:G307,G307),"000"),IF(G307="QAQC","QAQC-"&amp;TEXT(COUNTIF($G$3:G307,G307),"000"),IF(G307="HCGA","HCGA-"&amp;TEXT(COUNTIF($G$3:G307,G307),"000"),IF(G307="MAINTENANCE","MNT-"&amp;TEXT(COUNTIF($G$3:G307,G307),"000"),IF(G307="CIVIL","CIV-"&amp;TEXT(COUNTIF($G$3:G307,G307),"000"),IF(G307="GANIS","GAN-"&amp;TEXT(COUNTIF($G$3:G307,G307),"000"),IF(G307="ENGINEERING","ENG-"&amp;TEXT(COUNTIF($G$3:G307,G307),"000"),IF(G307="PRODUKSI","PRO-"&amp;TEXT(COUNTIF($G$3:G307,G307),"000"),IF(G307="SURVEY","SUR-"&amp;TEXT(COUNTIF($G$3:G307,G307),"000"),"")))))))))))</f>
        <v>HCGA-004</v>
      </c>
      <c r="I307" s="3"/>
      <c r="J307" s="3"/>
    </row>
    <row r="308" spans="2:10" ht="15.5">
      <c r="B308" s="4" t="s">
        <v>608</v>
      </c>
      <c r="C308" s="11" t="s">
        <v>1107</v>
      </c>
      <c r="D308" s="46">
        <v>100000</v>
      </c>
      <c r="E308" s="40" t="s">
        <v>1134</v>
      </c>
      <c r="F308" s="32"/>
      <c r="G308" s="21" t="s">
        <v>587</v>
      </c>
      <c r="H308" s="2" t="str">
        <f>IF(G308="","",IF(G308="EKSPLORASI","EXP-"&amp;TEXT(COUNTIF($G$3:G308,G308),"000"),IF(G308="HSE","HSE-"&amp;TEXT(COUNTIF($G$3:G308,G308),"000"),IF(G308="QAQC","QAQC-"&amp;TEXT(COUNTIF($G$3:G308,G308),"000"),IF(G308="HCGA","HCGA-"&amp;TEXT(COUNTIF($G$3:G308,G308),"000"),IF(G308="MAINTENANCE","MNT-"&amp;TEXT(COUNTIF($G$3:G308,G308),"000"),IF(G308="CIVIL","CIV-"&amp;TEXT(COUNTIF($G$3:G308,G308),"000"),IF(G308="GANIS","GAN-"&amp;TEXT(COUNTIF($G$3:G308,G308),"000"),IF(G308="ENGINEERING","ENG-"&amp;TEXT(COUNTIF($G$3:G308,G308),"000"),IF(G308="PRODUKSI","PRO-"&amp;TEXT(COUNTIF($G$3:G308,G308),"000"),IF(G308="SURVEY","SUR-"&amp;TEXT(COUNTIF($G$3:G308,G308),"000"),"")))))))))))</f>
        <v>HCGA-005</v>
      </c>
      <c r="I308" s="3"/>
      <c r="J308" s="3"/>
    </row>
    <row r="309" spans="2:10" ht="15.5">
      <c r="B309" s="4" t="s">
        <v>610</v>
      </c>
      <c r="C309" s="11" t="s">
        <v>1108</v>
      </c>
      <c r="D309" s="46">
        <v>30000</v>
      </c>
      <c r="E309" s="40" t="s">
        <v>11</v>
      </c>
      <c r="F309" s="32"/>
      <c r="G309" s="21" t="s">
        <v>587</v>
      </c>
      <c r="H309" s="2" t="str">
        <f>IF(G309="","",IF(G309="EKSPLORASI","EXP-"&amp;TEXT(COUNTIF($G$3:G309,G309),"000"),IF(G309="HSE","HSE-"&amp;TEXT(COUNTIF($G$3:G309,G309),"000"),IF(G309="QAQC","QAQC-"&amp;TEXT(COUNTIF($G$3:G309,G309),"000"),IF(G309="HCGA","HCGA-"&amp;TEXT(COUNTIF($G$3:G309,G309),"000"),IF(G309="MAINTENANCE","MNT-"&amp;TEXT(COUNTIF($G$3:G309,G309),"000"),IF(G309="CIVIL","CIV-"&amp;TEXT(COUNTIF($G$3:G309,G309),"000"),IF(G309="GANIS","GAN-"&amp;TEXT(COUNTIF($G$3:G309,G309),"000"),IF(G309="ENGINEERING","ENG-"&amp;TEXT(COUNTIF($G$3:G309,G309),"000"),IF(G309="PRODUKSI","PRO-"&amp;TEXT(COUNTIF($G$3:G309,G309),"000"),IF(G309="SURVEY","SUR-"&amp;TEXT(COUNTIF($G$3:G309,G309),"000"),"")))))))))))</f>
        <v>HCGA-006</v>
      </c>
      <c r="I309" s="3"/>
      <c r="J309" s="3"/>
    </row>
    <row r="310" spans="2:10" ht="15.5">
      <c r="B310" s="4" t="s">
        <v>611</v>
      </c>
      <c r="C310" s="11" t="s">
        <v>1109</v>
      </c>
      <c r="D310" s="46">
        <v>35000</v>
      </c>
      <c r="E310" s="40" t="s">
        <v>14</v>
      </c>
      <c r="F310" s="32"/>
      <c r="G310" s="21" t="s">
        <v>587</v>
      </c>
      <c r="H310" s="2" t="str">
        <f>IF(G310="","",IF(G310="EKSPLORASI","EXP-"&amp;TEXT(COUNTIF($G$3:G310,G310),"000"),IF(G310="HSE","HSE-"&amp;TEXT(COUNTIF($G$3:G310,G310),"000"),IF(G310="QAQC","QAQC-"&amp;TEXT(COUNTIF($G$3:G310,G310),"000"),IF(G310="HCGA","HCGA-"&amp;TEXT(COUNTIF($G$3:G310,G310),"000"),IF(G310="MAINTENANCE","MNT-"&amp;TEXT(COUNTIF($G$3:G310,G310),"000"),IF(G310="CIVIL","CIV-"&amp;TEXT(COUNTIF($G$3:G310,G310),"000"),IF(G310="GANIS","GAN-"&amp;TEXT(COUNTIF($G$3:G310,G310),"000"),IF(G310="ENGINEERING","ENG-"&amp;TEXT(COUNTIF($G$3:G310,G310),"000"),IF(G310="PRODUKSI","PRO-"&amp;TEXT(COUNTIF($G$3:G310,G310),"000"),IF(G310="SURVEY","SUR-"&amp;TEXT(COUNTIF($G$3:G310,G310),"000"),"")))))))))))</f>
        <v>HCGA-007</v>
      </c>
      <c r="I310" s="3"/>
      <c r="J310" s="3"/>
    </row>
    <row r="311" spans="2:10" ht="15.5">
      <c r="B311" s="4" t="s">
        <v>613</v>
      </c>
      <c r="C311" s="11" t="s">
        <v>1110</v>
      </c>
      <c r="D311" s="46">
        <v>50000</v>
      </c>
      <c r="E311" s="40" t="s">
        <v>11</v>
      </c>
      <c r="F311" s="32"/>
      <c r="G311" s="21" t="s">
        <v>587</v>
      </c>
      <c r="H311" s="2" t="str">
        <f>IF(G311="","",IF(G311="EKSPLORASI","EXP-"&amp;TEXT(COUNTIF($G$3:G311,G311),"000"),IF(G311="HSE","HSE-"&amp;TEXT(COUNTIF($G$3:G311,G311),"000"),IF(G311="QAQC","QAQC-"&amp;TEXT(COUNTIF($G$3:G311,G311),"000"),IF(G311="HCGA","HCGA-"&amp;TEXT(COUNTIF($G$3:G311,G311),"000"),IF(G311="MAINTENANCE","MNT-"&amp;TEXT(COUNTIF($G$3:G311,G311),"000"),IF(G311="CIVIL","CIV-"&amp;TEXT(COUNTIF($G$3:G311,G311),"000"),IF(G311="GANIS","GAN-"&amp;TEXT(COUNTIF($G$3:G311,G311),"000"),IF(G311="ENGINEERING","ENG-"&amp;TEXT(COUNTIF($G$3:G311,G311),"000"),IF(G311="PRODUKSI","PRO-"&amp;TEXT(COUNTIF($G$3:G311,G311),"000"),IF(G311="SURVEY","SUR-"&amp;TEXT(COUNTIF($G$3:G311,G311),"000"),"")))))))))))</f>
        <v>HCGA-008</v>
      </c>
      <c r="I311" s="3"/>
      <c r="J311" s="3"/>
    </row>
    <row r="312" spans="2:10" ht="15.5">
      <c r="B312" s="4" t="s">
        <v>615</v>
      </c>
      <c r="C312" s="11" t="s">
        <v>1111</v>
      </c>
      <c r="D312" s="46">
        <v>15000</v>
      </c>
      <c r="E312" s="40" t="s">
        <v>1116</v>
      </c>
      <c r="F312" s="32"/>
      <c r="G312" s="21" t="s">
        <v>587</v>
      </c>
      <c r="H312" s="2" t="str">
        <f>IF(G312="","",IF(G312="EKSPLORASI","EXP-"&amp;TEXT(COUNTIF($G$3:G312,G312),"000"),IF(G312="HSE","HSE-"&amp;TEXT(COUNTIF($G$3:G312,G312),"000"),IF(G312="QAQC","QAQC-"&amp;TEXT(COUNTIF($G$3:G312,G312),"000"),IF(G312="HCGA","HCGA-"&amp;TEXT(COUNTIF($G$3:G312,G312),"000"),IF(G312="MAINTENANCE","MNT-"&amp;TEXT(COUNTIF($G$3:G312,G312),"000"),IF(G312="CIVIL","CIV-"&amp;TEXT(COUNTIF($G$3:G312,G312),"000"),IF(G312="GANIS","GAN-"&amp;TEXT(COUNTIF($G$3:G312,G312),"000"),IF(G312="ENGINEERING","ENG-"&amp;TEXT(COUNTIF($G$3:G312,G312),"000"),IF(G312="PRODUKSI","PRO-"&amp;TEXT(COUNTIF($G$3:G312,G312),"000"),IF(G312="SURVEY","SUR-"&amp;TEXT(COUNTIF($G$3:G312,G312),"000"),"")))))))))))</f>
        <v>HCGA-009</v>
      </c>
      <c r="I312" s="3"/>
      <c r="J312" s="3"/>
    </row>
    <row r="313" spans="2:10" ht="15.5">
      <c r="B313" s="4" t="s">
        <v>617</v>
      </c>
      <c r="C313" s="11" t="s">
        <v>1112</v>
      </c>
      <c r="D313" s="46">
        <v>35000</v>
      </c>
      <c r="E313" s="40" t="s">
        <v>56</v>
      </c>
      <c r="F313" s="32"/>
      <c r="G313" s="21" t="s">
        <v>587</v>
      </c>
      <c r="H313" s="2" t="str">
        <f>IF(G313="","",IF(G313="EKSPLORASI","EXP-"&amp;TEXT(COUNTIF($G$3:G313,G313),"000"),IF(G313="HSE","HSE-"&amp;TEXT(COUNTIF($G$3:G313,G313),"000"),IF(G313="QAQC","QAQC-"&amp;TEXT(COUNTIF($G$3:G313,G313),"000"),IF(G313="HCGA","HCGA-"&amp;TEXT(COUNTIF($G$3:G313,G313),"000"),IF(G313="MAINTENANCE","MNT-"&amp;TEXT(COUNTIF($G$3:G313,G313),"000"),IF(G313="CIVIL","CIV-"&amp;TEXT(COUNTIF($G$3:G313,G313),"000"),IF(G313="GANIS","GAN-"&amp;TEXT(COUNTIF($G$3:G313,G313),"000"),IF(G313="ENGINEERING","ENG-"&amp;TEXT(COUNTIF($G$3:G313,G313),"000"),IF(G313="PRODUKSI","PRO-"&amp;TEXT(COUNTIF($G$3:G313,G313),"000"),IF(G313="SURVEY","SUR-"&amp;TEXT(COUNTIF($G$3:G313,G313),"000"),"")))))))))))</f>
        <v>HCGA-010</v>
      </c>
      <c r="I313" s="3"/>
      <c r="J313" s="3"/>
    </row>
    <row r="314" spans="2:10" ht="15.5">
      <c r="B314" s="4" t="s">
        <v>619</v>
      </c>
      <c r="C314" s="11" t="s">
        <v>1113</v>
      </c>
      <c r="D314" s="46">
        <v>25000</v>
      </c>
      <c r="E314" s="40" t="s">
        <v>56</v>
      </c>
      <c r="F314" s="32"/>
      <c r="G314" s="21" t="s">
        <v>587</v>
      </c>
      <c r="H314" s="2" t="str">
        <f>IF(G314="","",IF(G314="EKSPLORASI","EXP-"&amp;TEXT(COUNTIF($G$3:G314,G314),"000"),IF(G314="HSE","HSE-"&amp;TEXT(COUNTIF($G$3:G314,G314),"000"),IF(G314="QAQC","QAQC-"&amp;TEXT(COUNTIF($G$3:G314,G314),"000"),IF(G314="HCGA","HCGA-"&amp;TEXT(COUNTIF($G$3:G314,G314),"000"),IF(G314="MAINTENANCE","MNT-"&amp;TEXT(COUNTIF($G$3:G314,G314),"000"),IF(G314="CIVIL","CIV-"&amp;TEXT(COUNTIF($G$3:G314,G314),"000"),IF(G314="GANIS","GAN-"&amp;TEXT(COUNTIF($G$3:G314,G314),"000"),IF(G314="ENGINEERING","ENG-"&amp;TEXT(COUNTIF($G$3:G314,G314),"000"),IF(G314="PRODUKSI","PRO-"&amp;TEXT(COUNTIF($G$3:G314,G314),"000"),IF(G314="SURVEY","SUR-"&amp;TEXT(COUNTIF($G$3:G314,G314),"000"),"")))))))))))</f>
        <v>HCGA-011</v>
      </c>
      <c r="I314" s="3"/>
      <c r="J314" s="3"/>
    </row>
    <row r="315" spans="2:10" ht="15.5">
      <c r="B315" s="4" t="s">
        <v>621</v>
      </c>
      <c r="C315" s="11" t="s">
        <v>1114</v>
      </c>
      <c r="D315" s="46">
        <v>650000</v>
      </c>
      <c r="E315" s="40" t="s">
        <v>171</v>
      </c>
      <c r="F315" s="32"/>
      <c r="G315" s="21" t="s">
        <v>587</v>
      </c>
      <c r="H315" s="2" t="str">
        <f>IF(G315="","",IF(G315="EKSPLORASI","EXP-"&amp;TEXT(COUNTIF($G$3:G315,G315),"000"),IF(G315="HSE","HSE-"&amp;TEXT(COUNTIF($G$3:G315,G315),"000"),IF(G315="QAQC","QAQC-"&amp;TEXT(COUNTIF($G$3:G315,G315),"000"),IF(G315="HCGA","HCGA-"&amp;TEXT(COUNTIF($G$3:G315,G315),"000"),IF(G315="MAINTENANCE","MNT-"&amp;TEXT(COUNTIF($G$3:G315,G315),"000"),IF(G315="CIVIL","CIV-"&amp;TEXT(COUNTIF($G$3:G315,G315),"000"),IF(G315="GANIS","GAN-"&amp;TEXT(COUNTIF($G$3:G315,G315),"000"),IF(G315="ENGINEERING","ENG-"&amp;TEXT(COUNTIF($G$3:G315,G315),"000"),IF(G315="PRODUKSI","PRO-"&amp;TEXT(COUNTIF($G$3:G315,G315),"000"),IF(G315="SURVEY","SUR-"&amp;TEXT(COUNTIF($G$3:G315,G315),"000"),"")))))))))))</f>
        <v>HCGA-012</v>
      </c>
      <c r="I315" s="3"/>
      <c r="J315" s="3"/>
    </row>
    <row r="316" spans="2:10" ht="15.5">
      <c r="B316" s="4" t="s">
        <v>623</v>
      </c>
      <c r="C316" s="5" t="s">
        <v>586</v>
      </c>
      <c r="D316" s="46"/>
      <c r="E316" s="40" t="s">
        <v>14</v>
      </c>
      <c r="F316" s="32"/>
      <c r="G316" s="23" t="s">
        <v>587</v>
      </c>
      <c r="H316" s="2" t="str">
        <f>IF(G316="","",IF(G316="EKSPLORASI","EXP-"&amp;TEXT(COUNTIF($G$3:G316,G316),"000"),IF(G316="HSE","HSE-"&amp;TEXT(COUNTIF($G$3:G316,G316),"000"),IF(G316="QAQC","QAQC-"&amp;TEXT(COUNTIF($G$3:G316,G316),"000"),IF(G316="HCGA","HCGA-"&amp;TEXT(COUNTIF($G$3:G316,G316),"000"),IF(G316="MAINTENANCE","MNT-"&amp;TEXT(COUNTIF($G$3:G316,G316),"000"),IF(G316="CIVIL","CIV-"&amp;TEXT(COUNTIF($G$3:G316,G316),"000"),IF(G316="GANIS","GAN-"&amp;TEXT(COUNTIF($G$3:G316,G316),"000"),IF(G316="ENGINEERING","ENG-"&amp;TEXT(COUNTIF($G$3:G316,G316),"000"),IF(G316="PRODUKSI","PRO-"&amp;TEXT(COUNTIF($G$3:G316,G316),"000"),IF(G316="SURVEY","SUR-"&amp;TEXT(COUNTIF($G$3:G316,G316),"000"),"")))))))))))</f>
        <v>HCGA-013</v>
      </c>
      <c r="I316" s="3"/>
      <c r="J316" s="3"/>
    </row>
    <row r="317" spans="2:10" ht="15.5">
      <c r="B317" s="4" t="s">
        <v>624</v>
      </c>
      <c r="C317" s="5" t="s">
        <v>589</v>
      </c>
      <c r="D317" s="46"/>
      <c r="E317" s="40" t="s">
        <v>14</v>
      </c>
      <c r="F317" s="32"/>
      <c r="G317" s="23" t="s">
        <v>587</v>
      </c>
      <c r="H317" s="2" t="str">
        <f>IF(G317="","",IF(G317="EKSPLORASI","EXP-"&amp;TEXT(COUNTIF($G$3:G317,G317),"000"),IF(G317="HSE","HSE-"&amp;TEXT(COUNTIF($G$3:G317,G317),"000"),IF(G317="QAQC","QAQC-"&amp;TEXT(COUNTIF($G$3:G317,G317),"000"),IF(G317="HCGA","HCGA-"&amp;TEXT(COUNTIF($G$3:G317,G317),"000"),IF(G317="MAINTENANCE","MNT-"&amp;TEXT(COUNTIF($G$3:G317,G317),"000"),IF(G317="CIVIL","CIV-"&amp;TEXT(COUNTIF($G$3:G317,G317),"000"),IF(G317="GANIS","GAN-"&amp;TEXT(COUNTIF($G$3:G317,G317),"000"),IF(G317="ENGINEERING","ENG-"&amp;TEXT(COUNTIF($G$3:G317,G317),"000"),IF(G317="PRODUKSI","PRO-"&amp;TEXT(COUNTIF($G$3:G317,G317),"000"),IF(G317="SURVEY","SUR-"&amp;TEXT(COUNTIF($G$3:G317,G317),"000"),"")))))))))))</f>
        <v>HCGA-014</v>
      </c>
      <c r="I317" s="3"/>
      <c r="J317" s="3"/>
    </row>
    <row r="318" spans="2:10" ht="15.5">
      <c r="B318" s="4" t="s">
        <v>626</v>
      </c>
      <c r="C318" s="16" t="s">
        <v>591</v>
      </c>
      <c r="D318" s="46"/>
      <c r="E318" s="40" t="s">
        <v>11</v>
      </c>
      <c r="F318" s="32"/>
      <c r="G318" s="23" t="s">
        <v>587</v>
      </c>
      <c r="H318" s="2" t="str">
        <f>IF(G318="","",IF(G318="EKSPLORASI","EXP-"&amp;TEXT(COUNTIF($G$3:G318,G318),"000"),IF(G318="HSE","HSE-"&amp;TEXT(COUNTIF($G$3:G318,G318),"000"),IF(G318="QAQC","QAQC-"&amp;TEXT(COUNTIF($G$3:G318,G318),"000"),IF(G318="HCGA","HCGA-"&amp;TEXT(COUNTIF($G$3:G318,G318),"000"),IF(G318="MAINTENANCE","MNT-"&amp;TEXT(COUNTIF($G$3:G318,G318),"000"),IF(G318="CIVIL","CIV-"&amp;TEXT(COUNTIF($G$3:G318,G318),"000"),IF(G318="GANIS","GAN-"&amp;TEXT(COUNTIF($G$3:G318,G318),"000"),IF(G318="ENGINEERING","ENG-"&amp;TEXT(COUNTIF($G$3:G318,G318),"000"),IF(G318="PRODUKSI","PRO-"&amp;TEXT(COUNTIF($G$3:G318,G318),"000"),IF(G318="SURVEY","SUR-"&amp;TEXT(COUNTIF($G$3:G318,G318),"000"),"")))))))))))</f>
        <v>HCGA-015</v>
      </c>
      <c r="I318" s="3"/>
      <c r="J318" s="3"/>
    </row>
    <row r="319" spans="2:10" ht="15.5">
      <c r="B319" s="4" t="s">
        <v>628</v>
      </c>
      <c r="C319" s="16" t="s">
        <v>837</v>
      </c>
      <c r="D319" s="46">
        <v>10000</v>
      </c>
      <c r="E319" s="40" t="s">
        <v>14</v>
      </c>
      <c r="F319" s="32"/>
      <c r="G319" s="23" t="s">
        <v>587</v>
      </c>
      <c r="H319" s="2" t="str">
        <f>IF(G319="","",IF(G319="EKSPLORASI","EXP-"&amp;TEXT(COUNTIF($G$3:G319,G319),"000"),IF(G319="HSE","HSE-"&amp;TEXT(COUNTIF($G$3:G319,G319),"000"),IF(G319="QAQC","QAQC-"&amp;TEXT(COUNTIF($G$3:G319,G319),"000"),IF(G319="HCGA","HCGA-"&amp;TEXT(COUNTIF($G$3:G319,G319),"000"),IF(G319="MAINTENANCE","MNT-"&amp;TEXT(COUNTIF($G$3:G319,G319),"000"),IF(G319="CIVIL","CIV-"&amp;TEXT(COUNTIF($G$3:G319,G319),"000"),IF(G319="GANIS","GAN-"&amp;TEXT(COUNTIF($G$3:G319,G319),"000"),IF(G319="ENGINEERING","ENG-"&amp;TEXT(COUNTIF($G$3:G319,G319),"000"),IF(G319="PRODUKSI","PRO-"&amp;TEXT(COUNTIF($G$3:G319,G319),"000"),IF(G319="SURVEY","SUR-"&amp;TEXT(COUNTIF($G$3:G319,G319),"000"),"")))))))))))</f>
        <v>HCGA-016</v>
      </c>
      <c r="I319" s="3"/>
      <c r="J319" s="3"/>
    </row>
    <row r="320" spans="2:10" ht="15.5">
      <c r="B320" s="4" t="s">
        <v>630</v>
      </c>
      <c r="C320" s="16" t="s">
        <v>594</v>
      </c>
      <c r="D320" s="46"/>
      <c r="E320" s="40" t="s">
        <v>56</v>
      </c>
      <c r="F320" s="32"/>
      <c r="G320" s="23" t="s">
        <v>587</v>
      </c>
      <c r="H320" s="2" t="str">
        <f>IF(G320="","",IF(G320="EKSPLORASI","EXP-"&amp;TEXT(COUNTIF($G$3:G320,G320),"000"),IF(G320="HSE","HSE-"&amp;TEXT(COUNTIF($G$3:G320,G320),"000"),IF(G320="QAQC","QAQC-"&amp;TEXT(COUNTIF($G$3:G320,G320),"000"),IF(G320="HCGA","HCGA-"&amp;TEXT(COUNTIF($G$3:G320,G320),"000"),IF(G320="MAINTENANCE","MNT-"&amp;TEXT(COUNTIF($G$3:G320,G320),"000"),IF(G320="CIVIL","CIV-"&amp;TEXT(COUNTIF($G$3:G320,G320),"000"),IF(G320="GANIS","GAN-"&amp;TEXT(COUNTIF($G$3:G320,G320),"000"),IF(G320="ENGINEERING","ENG-"&amp;TEXT(COUNTIF($G$3:G320,G320),"000"),IF(G320="PRODUKSI","PRO-"&amp;TEXT(COUNTIF($G$3:G320,G320),"000"),IF(G320="SURVEY","SUR-"&amp;TEXT(COUNTIF($G$3:G320,G320),"000"),"")))))))))))</f>
        <v>HCGA-017</v>
      </c>
      <c r="I320" s="3"/>
      <c r="J320" s="3"/>
    </row>
    <row r="321" spans="2:10" ht="15.5">
      <c r="B321" s="4" t="s">
        <v>632</v>
      </c>
      <c r="C321" s="16" t="s">
        <v>596</v>
      </c>
      <c r="D321" s="46"/>
      <c r="E321" s="40" t="s">
        <v>14</v>
      </c>
      <c r="F321" s="32"/>
      <c r="G321" s="23" t="s">
        <v>587</v>
      </c>
      <c r="H321" s="2" t="str">
        <f>IF(G321="","",IF(G321="EKSPLORASI","EXP-"&amp;TEXT(COUNTIF($G$3:G321,G321),"000"),IF(G321="HSE","HSE-"&amp;TEXT(COUNTIF($G$3:G321,G321),"000"),IF(G321="QAQC","QAQC-"&amp;TEXT(COUNTIF($G$3:G321,G321),"000"),IF(G321="HCGA","HCGA-"&amp;TEXT(COUNTIF($G$3:G321,G321),"000"),IF(G321="MAINTENANCE","MNT-"&amp;TEXT(COUNTIF($G$3:G321,G321),"000"),IF(G321="CIVIL","CIV-"&amp;TEXT(COUNTIF($G$3:G321,G321),"000"),IF(G321="GANIS","GAN-"&amp;TEXT(COUNTIF($G$3:G321,G321),"000"),IF(G321="ENGINEERING","ENG-"&amp;TEXT(COUNTIF($G$3:G321,G321),"000"),IF(G321="PRODUKSI","PRO-"&amp;TEXT(COUNTIF($G$3:G321,G321),"000"),IF(G321="SURVEY","SUR-"&amp;TEXT(COUNTIF($G$3:G321,G321),"000"),"")))))))))))</f>
        <v>HCGA-018</v>
      </c>
      <c r="I321" s="3"/>
      <c r="J321" s="3"/>
    </row>
    <row r="322" spans="2:10" ht="15.5">
      <c r="B322" s="4" t="s">
        <v>634</v>
      </c>
      <c r="C322" s="16" t="s">
        <v>598</v>
      </c>
      <c r="D322" s="46"/>
      <c r="E322" s="40" t="s">
        <v>14</v>
      </c>
      <c r="F322" s="32"/>
      <c r="G322" s="23" t="s">
        <v>587</v>
      </c>
      <c r="H322" s="2" t="str">
        <f>IF(G322="","",IF(G322="EKSPLORASI","EXP-"&amp;TEXT(COUNTIF($G$3:G322,G322),"000"),IF(G322="HSE","HSE-"&amp;TEXT(COUNTIF($G$3:G322,G322),"000"),IF(G322="QAQC","QAQC-"&amp;TEXT(COUNTIF($G$3:G322,G322),"000"),IF(G322="HCGA","HCGA-"&amp;TEXT(COUNTIF($G$3:G322,G322),"000"),IF(G322="MAINTENANCE","MNT-"&amp;TEXT(COUNTIF($G$3:G322,G322),"000"),IF(G322="CIVIL","CIV-"&amp;TEXT(COUNTIF($G$3:G322,G322),"000"),IF(G322="GANIS","GAN-"&amp;TEXT(COUNTIF($G$3:G322,G322),"000"),IF(G322="ENGINEERING","ENG-"&amp;TEXT(COUNTIF($G$3:G322,G322),"000"),IF(G322="PRODUKSI","PRO-"&amp;TEXT(COUNTIF($G$3:G322,G322),"000"),IF(G322="SURVEY","SUR-"&amp;TEXT(COUNTIF($G$3:G322,G322),"000"),"")))))))))))</f>
        <v>HCGA-019</v>
      </c>
      <c r="I322" s="3"/>
      <c r="J322" s="3"/>
    </row>
    <row r="323" spans="2:10" ht="15.5">
      <c r="B323" s="4" t="s">
        <v>636</v>
      </c>
      <c r="C323" s="16" t="s">
        <v>600</v>
      </c>
      <c r="D323" s="46"/>
      <c r="E323" s="40" t="s">
        <v>257</v>
      </c>
      <c r="F323" s="32"/>
      <c r="G323" s="23" t="s">
        <v>587</v>
      </c>
      <c r="H323" s="2" t="str">
        <f>IF(G323="","",IF(G323="EKSPLORASI","EXP-"&amp;TEXT(COUNTIF($G$3:G323,G323),"000"),IF(G323="HSE","HSE-"&amp;TEXT(COUNTIF($G$3:G323,G323),"000"),IF(G323="QAQC","QAQC-"&amp;TEXT(COUNTIF($G$3:G323,G323),"000"),IF(G323="HCGA","HCGA-"&amp;TEXT(COUNTIF($G$3:G323,G323),"000"),IF(G323="MAINTENANCE","MNT-"&amp;TEXT(COUNTIF($G$3:G323,G323),"000"),IF(G323="CIVIL","CIV-"&amp;TEXT(COUNTIF($G$3:G323,G323),"000"),IF(G323="GANIS","GAN-"&amp;TEXT(COUNTIF($G$3:G323,G323),"000"),IF(G323="ENGINEERING","ENG-"&amp;TEXT(COUNTIF($G$3:G323,G323),"000"),IF(G323="PRODUKSI","PRO-"&amp;TEXT(COUNTIF($G$3:G323,G323),"000"),IF(G323="SURVEY","SUR-"&amp;TEXT(COUNTIF($G$3:G323,G323),"000"),"")))))))))))</f>
        <v>HCGA-020</v>
      </c>
      <c r="I323" s="3"/>
      <c r="J323" s="3"/>
    </row>
    <row r="324" spans="2:10" ht="15.5">
      <c r="B324" s="4" t="s">
        <v>638</v>
      </c>
      <c r="C324" s="16" t="s">
        <v>602</v>
      </c>
      <c r="D324" s="46"/>
      <c r="E324" s="40" t="s">
        <v>257</v>
      </c>
      <c r="F324" s="32"/>
      <c r="G324" s="23" t="s">
        <v>587</v>
      </c>
      <c r="H324" s="2" t="str">
        <f>IF(G324="","",IF(G324="EKSPLORASI","EXP-"&amp;TEXT(COUNTIF($G$3:G324,G324),"000"),IF(G324="HSE","HSE-"&amp;TEXT(COUNTIF($G$3:G324,G324),"000"),IF(G324="QAQC","QAQC-"&amp;TEXT(COUNTIF($G$3:G324,G324),"000"),IF(G324="HCGA","HCGA-"&amp;TEXT(COUNTIF($G$3:G324,G324),"000"),IF(G324="MAINTENANCE","MNT-"&amp;TEXT(COUNTIF($G$3:G324,G324),"000"),IF(G324="CIVIL","CIV-"&amp;TEXT(COUNTIF($G$3:G324,G324),"000"),IF(G324="GANIS","GAN-"&amp;TEXT(COUNTIF($G$3:G324,G324),"000"),IF(G324="ENGINEERING","ENG-"&amp;TEXT(COUNTIF($G$3:G324,G324),"000"),IF(G324="PRODUKSI","PRO-"&amp;TEXT(COUNTIF($G$3:G324,G324),"000"),IF(G324="SURVEY","SUR-"&amp;TEXT(COUNTIF($G$3:G324,G324),"000"),"")))))))))))</f>
        <v>HCGA-021</v>
      </c>
      <c r="I324" s="3"/>
      <c r="J324" s="3"/>
    </row>
    <row r="325" spans="2:10" ht="15.5">
      <c r="B325" s="4" t="s">
        <v>640</v>
      </c>
      <c r="C325" s="16" t="s">
        <v>256</v>
      </c>
      <c r="D325" s="46"/>
      <c r="E325" s="40" t="s">
        <v>11</v>
      </c>
      <c r="F325" s="32"/>
      <c r="G325" s="23" t="s">
        <v>587</v>
      </c>
      <c r="H325" s="2" t="str">
        <f>IF(G325="","",IF(G325="EKSPLORASI","EXP-"&amp;TEXT(COUNTIF($G$3:G325,G325),"000"),IF(G325="HSE","HSE-"&amp;TEXT(COUNTIF($G$3:G325,G325),"000"),IF(G325="QAQC","QAQC-"&amp;TEXT(COUNTIF($G$3:G325,G325),"000"),IF(G325="HCGA","HCGA-"&amp;TEXT(COUNTIF($G$3:G325,G325),"000"),IF(G325="MAINTENANCE","MNT-"&amp;TEXT(COUNTIF($G$3:G325,G325),"000"),IF(G325="CIVIL","CIV-"&amp;TEXT(COUNTIF($G$3:G325,G325),"000"),IF(G325="GANIS","GAN-"&amp;TEXT(COUNTIF($G$3:G325,G325),"000"),IF(G325="ENGINEERING","ENG-"&amp;TEXT(COUNTIF($G$3:G325,G325),"000"),IF(G325="PRODUKSI","PRO-"&amp;TEXT(COUNTIF($G$3:G325,G325),"000"),IF(G325="SURVEY","SUR-"&amp;TEXT(COUNTIF($G$3:G325,G325),"000"),"")))))))))))</f>
        <v>HCGA-022</v>
      </c>
      <c r="I325" s="3"/>
      <c r="J325" s="3"/>
    </row>
    <row r="326" spans="2:10" ht="15.5">
      <c r="B326" s="4" t="s">
        <v>642</v>
      </c>
      <c r="C326" s="16" t="s">
        <v>605</v>
      </c>
      <c r="D326" s="46"/>
      <c r="E326" s="40" t="s">
        <v>56</v>
      </c>
      <c r="F326" s="32"/>
      <c r="G326" s="23" t="s">
        <v>587</v>
      </c>
      <c r="H326" s="2" t="str">
        <f>IF(G326="","",IF(G326="EKSPLORASI","EXP-"&amp;TEXT(COUNTIF($G$3:G326,G326),"000"),IF(G326="HSE","HSE-"&amp;TEXT(COUNTIF($G$3:G326,G326),"000"),IF(G326="QAQC","QAQC-"&amp;TEXT(COUNTIF($G$3:G326,G326),"000"),IF(G326="HCGA","HCGA-"&amp;TEXT(COUNTIF($G$3:G326,G326),"000"),IF(G326="MAINTENANCE","MNT-"&amp;TEXT(COUNTIF($G$3:G326,G326),"000"),IF(G326="CIVIL","CIV-"&amp;TEXT(COUNTIF($G$3:G326,G326),"000"),IF(G326="GANIS","GAN-"&amp;TEXT(COUNTIF($G$3:G326,G326),"000"),IF(G326="ENGINEERING","ENG-"&amp;TEXT(COUNTIF($G$3:G326,G326),"000"),IF(G326="PRODUKSI","PRO-"&amp;TEXT(COUNTIF($G$3:G326,G326),"000"),IF(G326="SURVEY","SUR-"&amp;TEXT(COUNTIF($G$3:G326,G326),"000"),"")))))))))))</f>
        <v>HCGA-023</v>
      </c>
      <c r="I326" s="3"/>
      <c r="J326" s="3"/>
    </row>
    <row r="327" spans="2:10" ht="15.5">
      <c r="B327" s="4" t="s">
        <v>644</v>
      </c>
      <c r="C327" s="16" t="s">
        <v>607</v>
      </c>
      <c r="D327" s="46"/>
      <c r="E327" s="40" t="s">
        <v>56</v>
      </c>
      <c r="F327" s="32"/>
      <c r="G327" s="23" t="s">
        <v>587</v>
      </c>
      <c r="H327" s="2" t="str">
        <f>IF(G327="","",IF(G327="EKSPLORASI","EXP-"&amp;TEXT(COUNTIF($G$3:G327,G327),"000"),IF(G327="HSE","HSE-"&amp;TEXT(COUNTIF($G$3:G327,G327),"000"),IF(G327="QAQC","QAQC-"&amp;TEXT(COUNTIF($G$3:G327,G327),"000"),IF(G327="HCGA","HCGA-"&amp;TEXT(COUNTIF($G$3:G327,G327),"000"),IF(G327="MAINTENANCE","MNT-"&amp;TEXT(COUNTIF($G$3:G327,G327),"000"),IF(G327="CIVIL","CIV-"&amp;TEXT(COUNTIF($G$3:G327,G327),"000"),IF(G327="GANIS","GAN-"&amp;TEXT(COUNTIF($G$3:G327,G327),"000"),IF(G327="ENGINEERING","ENG-"&amp;TEXT(COUNTIF($G$3:G327,G327),"000"),IF(G327="PRODUKSI","PRO-"&amp;TEXT(COUNTIF($G$3:G327,G327),"000"),IF(G327="SURVEY","SUR-"&amp;TEXT(COUNTIF($G$3:G327,G327),"000"),"")))))))))))</f>
        <v>HCGA-024</v>
      </c>
      <c r="I327" s="3"/>
      <c r="J327" s="3"/>
    </row>
    <row r="328" spans="2:10" ht="15.5">
      <c r="B328" s="4" t="s">
        <v>646</v>
      </c>
      <c r="C328" s="16" t="s">
        <v>609</v>
      </c>
      <c r="D328" s="46"/>
      <c r="E328" s="40" t="s">
        <v>56</v>
      </c>
      <c r="F328" s="32"/>
      <c r="G328" s="23" t="s">
        <v>587</v>
      </c>
      <c r="H328" s="2" t="str">
        <f>IF(G328="","",IF(G328="EKSPLORASI","EXP-"&amp;TEXT(COUNTIF($G$3:G328,G328),"000"),IF(G328="HSE","HSE-"&amp;TEXT(COUNTIF($G$3:G328,G328),"000"),IF(G328="QAQC","QAQC-"&amp;TEXT(COUNTIF($G$3:G328,G328),"000"),IF(G328="HCGA","HCGA-"&amp;TEXT(COUNTIF($G$3:G328,G328),"000"),IF(G328="MAINTENANCE","MNT-"&amp;TEXT(COUNTIF($G$3:G328,G328),"000"),IF(G328="CIVIL","CIV-"&amp;TEXT(COUNTIF($G$3:G328,G328),"000"),IF(G328="GANIS","GAN-"&amp;TEXT(COUNTIF($G$3:G328,G328),"000"),IF(G328="ENGINEERING","ENG-"&amp;TEXT(COUNTIF($G$3:G328,G328),"000"),IF(G328="PRODUKSI","PRO-"&amp;TEXT(COUNTIF($G$3:G328,G328),"000"),IF(G328="SURVEY","SUR-"&amp;TEXT(COUNTIF($G$3:G328,G328),"000"),"")))))))))))</f>
        <v>HCGA-025</v>
      </c>
      <c r="I328" s="3"/>
      <c r="J328" s="3"/>
    </row>
    <row r="329" spans="2:10" ht="15.5">
      <c r="B329" s="4" t="s">
        <v>648</v>
      </c>
      <c r="C329" s="16" t="s">
        <v>50</v>
      </c>
      <c r="D329" s="46"/>
      <c r="E329" s="40" t="s">
        <v>14</v>
      </c>
      <c r="F329" s="32"/>
      <c r="G329" s="23" t="s">
        <v>587</v>
      </c>
      <c r="H329" s="2" t="str">
        <f>IF(G329="","",IF(G329="EKSPLORASI","EXP-"&amp;TEXT(COUNTIF($G$3:G329,G329),"000"),IF(G329="HSE","HSE-"&amp;TEXT(COUNTIF($G$3:G329,G329),"000"),IF(G329="QAQC","QAQC-"&amp;TEXT(COUNTIF($G$3:G329,G329),"000"),IF(G329="HCGA","HCGA-"&amp;TEXT(COUNTIF($G$3:G329,G329),"000"),IF(G329="MAINTENANCE","MNT-"&amp;TEXT(COUNTIF($G$3:G329,G329),"000"),IF(G329="CIVIL","CIV-"&amp;TEXT(COUNTIF($G$3:G329,G329),"000"),IF(G329="GANIS","GAN-"&amp;TEXT(COUNTIF($G$3:G329,G329),"000"),IF(G329="ENGINEERING","ENG-"&amp;TEXT(COUNTIF($G$3:G329,G329),"000"),IF(G329="PRODUKSI","PRO-"&amp;TEXT(COUNTIF($G$3:G329,G329),"000"),IF(G329="SURVEY","SUR-"&amp;TEXT(COUNTIF($G$3:G329,G329),"000"),"")))))))))))</f>
        <v>HCGA-026</v>
      </c>
      <c r="I329" s="3"/>
      <c r="J329" s="3"/>
    </row>
    <row r="330" spans="2:10" ht="15.5">
      <c r="B330" s="4" t="s">
        <v>650</v>
      </c>
      <c r="C330" s="16" t="s">
        <v>612</v>
      </c>
      <c r="D330" s="46"/>
      <c r="E330" s="40" t="s">
        <v>25</v>
      </c>
      <c r="F330" s="32"/>
      <c r="G330" s="23" t="s">
        <v>587</v>
      </c>
      <c r="H330" s="2" t="str">
        <f>IF(G330="","",IF(G330="EKSPLORASI","EXP-"&amp;TEXT(COUNTIF($G$3:G330,G330),"000"),IF(G330="HSE","HSE-"&amp;TEXT(COUNTIF($G$3:G330,G330),"000"),IF(G330="QAQC","QAQC-"&amp;TEXT(COUNTIF($G$3:G330,G330),"000"),IF(G330="HCGA","HCGA-"&amp;TEXT(COUNTIF($G$3:G330,G330),"000"),IF(G330="MAINTENANCE","MNT-"&amp;TEXT(COUNTIF($G$3:G330,G330),"000"),IF(G330="CIVIL","CIV-"&amp;TEXT(COUNTIF($G$3:G330,G330),"000"),IF(G330="GANIS","GAN-"&amp;TEXT(COUNTIF($G$3:G330,G330),"000"),IF(G330="ENGINEERING","ENG-"&amp;TEXT(COUNTIF($G$3:G330,G330),"000"),IF(G330="PRODUKSI","PRO-"&amp;TEXT(COUNTIF($G$3:G330,G330),"000"),IF(G330="SURVEY","SUR-"&amp;TEXT(COUNTIF($G$3:G330,G330),"000"),"")))))))))))</f>
        <v>HCGA-027</v>
      </c>
      <c r="I330" s="3"/>
      <c r="J330" s="3"/>
    </row>
    <row r="331" spans="2:10" ht="15.5">
      <c r="B331" s="4" t="s">
        <v>651</v>
      </c>
      <c r="C331" s="16" t="s">
        <v>614</v>
      </c>
      <c r="D331" s="46">
        <v>120000</v>
      </c>
      <c r="E331" s="40" t="s">
        <v>180</v>
      </c>
      <c r="F331" s="32"/>
      <c r="G331" s="23" t="s">
        <v>587</v>
      </c>
      <c r="H331" s="2" t="str">
        <f>IF(G331="","",IF(G331="EKSPLORASI","EXP-"&amp;TEXT(COUNTIF($G$3:G331,G331),"000"),IF(G331="HSE","HSE-"&amp;TEXT(COUNTIF($G$3:G331,G331),"000"),IF(G331="QAQC","QAQC-"&amp;TEXT(COUNTIF($G$3:G331,G331),"000"),IF(G331="HCGA","HCGA-"&amp;TEXT(COUNTIF($G$3:G331,G331),"000"),IF(G331="MAINTENANCE","MNT-"&amp;TEXT(COUNTIF($G$3:G331,G331),"000"),IF(G331="CIVIL","CIV-"&amp;TEXT(COUNTIF($G$3:G331,G331),"000"),IF(G331="GANIS","GAN-"&amp;TEXT(COUNTIF($G$3:G331,G331),"000"),IF(G331="ENGINEERING","ENG-"&amp;TEXT(COUNTIF($G$3:G331,G331),"000"),IF(G331="PRODUKSI","PRO-"&amp;TEXT(COUNTIF($G$3:G331,G331),"000"),IF(G331="SURVEY","SUR-"&amp;TEXT(COUNTIF($G$3:G331,G331),"000"),"")))))))))))</f>
        <v>HCGA-028</v>
      </c>
      <c r="I331" s="3"/>
      <c r="J331" s="3"/>
    </row>
    <row r="332" spans="2:10" ht="15.5">
      <c r="B332" s="4" t="s">
        <v>653</v>
      </c>
      <c r="C332" s="16" t="s">
        <v>616</v>
      </c>
      <c r="D332" s="46"/>
      <c r="E332" s="40" t="s">
        <v>14</v>
      </c>
      <c r="F332" s="32"/>
      <c r="G332" s="23" t="s">
        <v>587</v>
      </c>
      <c r="H332" s="2" t="str">
        <f>IF(G332="","",IF(G332="EKSPLORASI","EXP-"&amp;TEXT(COUNTIF($G$3:G332,G332),"000"),IF(G332="HSE","HSE-"&amp;TEXT(COUNTIF($G$3:G332,G332),"000"),IF(G332="QAQC","QAQC-"&amp;TEXT(COUNTIF($G$3:G332,G332),"000"),IF(G332="HCGA","HCGA-"&amp;TEXT(COUNTIF($G$3:G332,G332),"000"),IF(G332="MAINTENANCE","MNT-"&amp;TEXT(COUNTIF($G$3:G332,G332),"000"),IF(G332="CIVIL","CIV-"&amp;TEXT(COUNTIF($G$3:G332,G332),"000"),IF(G332="GANIS","GAN-"&amp;TEXT(COUNTIF($G$3:G332,G332),"000"),IF(G332="ENGINEERING","ENG-"&amp;TEXT(COUNTIF($G$3:G332,G332),"000"),IF(G332="PRODUKSI","PRO-"&amp;TEXT(COUNTIF($G$3:G332,G332),"000"),IF(G332="SURVEY","SUR-"&amp;TEXT(COUNTIF($G$3:G332,G332),"000"),"")))))))))))</f>
        <v>HCGA-029</v>
      </c>
      <c r="I332" s="3"/>
      <c r="J332" s="3"/>
    </row>
    <row r="333" spans="2:10" ht="15.5">
      <c r="B333" s="4" t="s">
        <v>655</v>
      </c>
      <c r="C333" s="16" t="s">
        <v>618</v>
      </c>
      <c r="D333" s="46"/>
      <c r="E333" s="40" t="s">
        <v>14</v>
      </c>
      <c r="F333" s="32"/>
      <c r="G333" s="23" t="s">
        <v>587</v>
      </c>
      <c r="H333" s="2" t="str">
        <f>IF(G333="","",IF(G333="EKSPLORASI","EXP-"&amp;TEXT(COUNTIF($G$3:G333,G333),"000"),IF(G333="HSE","HSE-"&amp;TEXT(COUNTIF($G$3:G333,G333),"000"),IF(G333="QAQC","QAQC-"&amp;TEXT(COUNTIF($G$3:G333,G333),"000"),IF(G333="HCGA","HCGA-"&amp;TEXT(COUNTIF($G$3:G333,G333),"000"),IF(G333="MAINTENANCE","MNT-"&amp;TEXT(COUNTIF($G$3:G333,G333),"000"),IF(G333="CIVIL","CIV-"&amp;TEXT(COUNTIF($G$3:G333,G333),"000"),IF(G333="GANIS","GAN-"&amp;TEXT(COUNTIF($G$3:G333,G333),"000"),IF(G333="ENGINEERING","ENG-"&amp;TEXT(COUNTIF($G$3:G333,G333),"000"),IF(G333="PRODUKSI","PRO-"&amp;TEXT(COUNTIF($G$3:G333,G333),"000"),IF(G333="SURVEY","SUR-"&amp;TEXT(COUNTIF($G$3:G333,G333),"000"),"")))))))))))</f>
        <v>HCGA-030</v>
      </c>
      <c r="I333" s="3"/>
      <c r="J333" s="3"/>
    </row>
    <row r="334" spans="2:10" ht="15.5">
      <c r="B334" s="4" t="s">
        <v>657</v>
      </c>
      <c r="C334" s="16" t="s">
        <v>620</v>
      </c>
      <c r="D334" s="46"/>
      <c r="E334" s="40" t="s">
        <v>14</v>
      </c>
      <c r="F334" s="32"/>
      <c r="G334" s="23" t="s">
        <v>587</v>
      </c>
      <c r="H334" s="2" t="str">
        <f>IF(G334="","",IF(G334="EKSPLORASI","EXP-"&amp;TEXT(COUNTIF($G$3:G334,G334),"000"),IF(G334="HSE","HSE-"&amp;TEXT(COUNTIF($G$3:G334,G334),"000"),IF(G334="QAQC","QAQC-"&amp;TEXT(COUNTIF($G$3:G334,G334),"000"),IF(G334="HCGA","HCGA-"&amp;TEXT(COUNTIF($G$3:G334,G334),"000"),IF(G334="MAINTENANCE","MNT-"&amp;TEXT(COUNTIF($G$3:G334,G334),"000"),IF(G334="CIVIL","CIV-"&amp;TEXT(COUNTIF($G$3:G334,G334),"000"),IF(G334="GANIS","GAN-"&amp;TEXT(COUNTIF($G$3:G334,G334),"000"),IF(G334="ENGINEERING","ENG-"&amp;TEXT(COUNTIF($G$3:G334,G334),"000"),IF(G334="PRODUKSI","PRO-"&amp;TEXT(COUNTIF($G$3:G334,G334),"000"),IF(G334="SURVEY","SUR-"&amp;TEXT(COUNTIF($G$3:G334,G334),"000"),"")))))))))))</f>
        <v>HCGA-031</v>
      </c>
      <c r="I334" s="3"/>
      <c r="J334" s="3"/>
    </row>
    <row r="335" spans="2:10" ht="15.5">
      <c r="B335" s="4" t="s">
        <v>658</v>
      </c>
      <c r="C335" s="16" t="s">
        <v>622</v>
      </c>
      <c r="D335" s="46"/>
      <c r="E335" s="40" t="s">
        <v>14</v>
      </c>
      <c r="F335" s="32"/>
      <c r="G335" s="23" t="s">
        <v>587</v>
      </c>
      <c r="H335" s="2" t="str">
        <f>IF(G335="","",IF(G335="EKSPLORASI","EXP-"&amp;TEXT(COUNTIF($G$3:G335,G335),"000"),IF(G335="HSE","HSE-"&amp;TEXT(COUNTIF($G$3:G335,G335),"000"),IF(G335="QAQC","QAQC-"&amp;TEXT(COUNTIF($G$3:G335,G335),"000"),IF(G335="HCGA","HCGA-"&amp;TEXT(COUNTIF($G$3:G335,G335),"000"),IF(G335="MAINTENANCE","MNT-"&amp;TEXT(COUNTIF($G$3:G335,G335),"000"),IF(G335="CIVIL","CIV-"&amp;TEXT(COUNTIF($G$3:G335,G335),"000"),IF(G335="GANIS","GAN-"&amp;TEXT(COUNTIF($G$3:G335,G335),"000"),IF(G335="ENGINEERING","ENG-"&amp;TEXT(COUNTIF($G$3:G335,G335),"000"),IF(G335="PRODUKSI","PRO-"&amp;TEXT(COUNTIF($G$3:G335,G335),"000"),IF(G335="SURVEY","SUR-"&amp;TEXT(COUNTIF($G$3:G335,G335),"000"),"")))))))))))</f>
        <v>HCGA-032</v>
      </c>
      <c r="I335" s="3"/>
      <c r="J335" s="3"/>
    </row>
    <row r="336" spans="2:10" ht="15.5">
      <c r="B336" s="4" t="s">
        <v>660</v>
      </c>
      <c r="C336" s="16" t="s">
        <v>252</v>
      </c>
      <c r="D336" s="46">
        <v>35000</v>
      </c>
      <c r="E336" s="40" t="s">
        <v>235</v>
      </c>
      <c r="F336" s="32"/>
      <c r="G336" s="23" t="s">
        <v>587</v>
      </c>
      <c r="H336" s="2" t="str">
        <f>IF(G336="","",IF(G336="EKSPLORASI","EXP-"&amp;TEXT(COUNTIF($G$3:G336,G336),"000"),IF(G336="HSE","HSE-"&amp;TEXT(COUNTIF($G$3:G336,G336),"000"),IF(G336="QAQC","QAQC-"&amp;TEXT(COUNTIF($G$3:G336,G336),"000"),IF(G336="HCGA","HCGA-"&amp;TEXT(COUNTIF($G$3:G336,G336),"000"),IF(G336="MAINTENANCE","MNT-"&amp;TEXT(COUNTIF($G$3:G336,G336),"000"),IF(G336="CIVIL","CIV-"&amp;TEXT(COUNTIF($G$3:G336,G336),"000"),IF(G336="GANIS","GAN-"&amp;TEXT(COUNTIF($G$3:G336,G336),"000"),IF(G336="ENGINEERING","ENG-"&amp;TEXT(COUNTIF($G$3:G336,G336),"000"),IF(G336="PRODUKSI","PRO-"&amp;TEXT(COUNTIF($G$3:G336,G336),"000"),IF(G336="SURVEY","SUR-"&amp;TEXT(COUNTIF($G$3:G336,G336),"000"),"")))))))))))</f>
        <v>HCGA-033</v>
      </c>
      <c r="I336" s="3"/>
      <c r="J336" s="3"/>
    </row>
    <row r="337" spans="2:10" ht="15.5">
      <c r="B337" s="4" t="s">
        <v>662</v>
      </c>
      <c r="C337" s="16" t="s">
        <v>625</v>
      </c>
      <c r="D337" s="46"/>
      <c r="E337" s="40" t="s">
        <v>14</v>
      </c>
      <c r="F337" s="32"/>
      <c r="G337" s="23" t="s">
        <v>587</v>
      </c>
      <c r="H337" s="2" t="str">
        <f>IF(G337="","",IF(G337="EKSPLORASI","EXP-"&amp;TEXT(COUNTIF($G$3:G337,G337),"000"),IF(G337="HSE","HSE-"&amp;TEXT(COUNTIF($G$3:G337,G337),"000"),IF(G337="QAQC","QAQC-"&amp;TEXT(COUNTIF($G$3:G337,G337),"000"),IF(G337="HCGA","HCGA-"&amp;TEXT(COUNTIF($G$3:G337,G337),"000"),IF(G337="MAINTENANCE","MNT-"&amp;TEXT(COUNTIF($G$3:G337,G337),"000"),IF(G337="CIVIL","CIV-"&amp;TEXT(COUNTIF($G$3:G337,G337),"000"),IF(G337="GANIS","GAN-"&amp;TEXT(COUNTIF($G$3:G337,G337),"000"),IF(G337="ENGINEERING","ENG-"&amp;TEXT(COUNTIF($G$3:G337,G337),"000"),IF(G337="PRODUKSI","PRO-"&amp;TEXT(COUNTIF($G$3:G337,G337),"000"),IF(G337="SURVEY","SUR-"&amp;TEXT(COUNTIF($G$3:G337,G337),"000"),"")))))))))))</f>
        <v>HCGA-034</v>
      </c>
      <c r="I337" s="3"/>
      <c r="J337" s="3"/>
    </row>
    <row r="338" spans="2:10" ht="15.5">
      <c r="B338" s="4" t="s">
        <v>664</v>
      </c>
      <c r="C338" s="22" t="s">
        <v>627</v>
      </c>
      <c r="D338" s="46">
        <v>50000</v>
      </c>
      <c r="E338" s="40" t="s">
        <v>14</v>
      </c>
      <c r="F338" s="32"/>
      <c r="G338" s="23" t="s">
        <v>587</v>
      </c>
      <c r="H338" s="2" t="str">
        <f>IF(G338="","",IF(G338="EKSPLORASI","EXP-"&amp;TEXT(COUNTIF($G$3:G338,G338),"000"),IF(G338="HSE","HSE-"&amp;TEXT(COUNTIF($G$3:G338,G338),"000"),IF(G338="QAQC","QAQC-"&amp;TEXT(COUNTIF($G$3:G338,G338),"000"),IF(G338="HCGA","HCGA-"&amp;TEXT(COUNTIF($G$3:G338,G338),"000"),IF(G338="MAINTENANCE","MNT-"&amp;TEXT(COUNTIF($G$3:G338,G338),"000"),IF(G338="CIVIL","CIV-"&amp;TEXT(COUNTIF($G$3:G338,G338),"000"),IF(G338="GANIS","GAN-"&amp;TEXT(COUNTIF($G$3:G338,G338),"000"),IF(G338="ENGINEERING","ENG-"&amp;TEXT(COUNTIF($G$3:G338,G338),"000"),IF(G338="PRODUKSI","PRO-"&amp;TEXT(COUNTIF($G$3:G338,G338),"000"),IF(G338="SURVEY","SUR-"&amp;TEXT(COUNTIF($G$3:G338,G338),"000"),"")))))))))))</f>
        <v>HCGA-035</v>
      </c>
      <c r="I338" s="3"/>
      <c r="J338" s="3"/>
    </row>
    <row r="339" spans="2:10" ht="15.5">
      <c r="B339" s="4" t="s">
        <v>666</v>
      </c>
      <c r="C339" s="22" t="s">
        <v>629</v>
      </c>
      <c r="D339" s="46">
        <v>35000</v>
      </c>
      <c r="E339" s="40" t="s">
        <v>14</v>
      </c>
      <c r="F339" s="32"/>
      <c r="G339" s="23" t="s">
        <v>587</v>
      </c>
      <c r="H339" s="2" t="str">
        <f>IF(G339="","",IF(G339="EKSPLORASI","EXP-"&amp;TEXT(COUNTIF($G$3:G339,G339),"000"),IF(G339="HSE","HSE-"&amp;TEXT(COUNTIF($G$3:G339,G339),"000"),IF(G339="QAQC","QAQC-"&amp;TEXT(COUNTIF($G$3:G339,G339),"000"),IF(G339="HCGA","HCGA-"&amp;TEXT(COUNTIF($G$3:G339,G339),"000"),IF(G339="MAINTENANCE","MNT-"&amp;TEXT(COUNTIF($G$3:G339,G339),"000"),IF(G339="CIVIL","CIV-"&amp;TEXT(COUNTIF($G$3:G339,G339),"000"),IF(G339="GANIS","GAN-"&amp;TEXT(COUNTIF($G$3:G339,G339),"000"),IF(G339="ENGINEERING","ENG-"&amp;TEXT(COUNTIF($G$3:G339,G339),"000"),IF(G339="PRODUKSI","PRO-"&amp;TEXT(COUNTIF($G$3:G339,G339),"000"),IF(G339="SURVEY","SUR-"&amp;TEXT(COUNTIF($G$3:G339,G339),"000"),"")))))))))))</f>
        <v>HCGA-036</v>
      </c>
      <c r="I339" s="3"/>
      <c r="J339" s="3"/>
    </row>
    <row r="340" spans="2:10" ht="15.5">
      <c r="B340" s="4" t="s">
        <v>668</v>
      </c>
      <c r="C340" s="22" t="s">
        <v>631</v>
      </c>
      <c r="D340" s="46"/>
      <c r="E340" s="40" t="s">
        <v>14</v>
      </c>
      <c r="F340" s="32"/>
      <c r="G340" s="23" t="s">
        <v>587</v>
      </c>
      <c r="H340" s="2" t="str">
        <f>IF(G340="","",IF(G340="EKSPLORASI","EXP-"&amp;TEXT(COUNTIF($G$3:G340,G340),"000"),IF(G340="HSE","HSE-"&amp;TEXT(COUNTIF($G$3:G340,G340),"000"),IF(G340="QAQC","QAQC-"&amp;TEXT(COUNTIF($G$3:G340,G340),"000"),IF(G340="HCGA","HCGA-"&amp;TEXT(COUNTIF($G$3:G340,G340),"000"),IF(G340="MAINTENANCE","MNT-"&amp;TEXT(COUNTIF($G$3:G340,G340),"000"),IF(G340="CIVIL","CIV-"&amp;TEXT(COUNTIF($G$3:G340,G340),"000"),IF(G340="GANIS","GAN-"&amp;TEXT(COUNTIF($G$3:G340,G340),"000"),IF(G340="ENGINEERING","ENG-"&amp;TEXT(COUNTIF($G$3:G340,G340),"000"),IF(G340="PRODUKSI","PRO-"&amp;TEXT(COUNTIF($G$3:G340,G340),"000"),IF(G340="SURVEY","SUR-"&amp;TEXT(COUNTIF($G$3:G340,G340),"000"),"")))))))))))</f>
        <v>HCGA-037</v>
      </c>
      <c r="I340" s="3"/>
      <c r="J340" s="3"/>
    </row>
    <row r="341" spans="2:10" ht="15.5">
      <c r="B341" s="4" t="s">
        <v>669</v>
      </c>
      <c r="C341" s="22" t="s">
        <v>633</v>
      </c>
      <c r="D341" s="46"/>
      <c r="E341" s="40" t="s">
        <v>11</v>
      </c>
      <c r="F341" s="32"/>
      <c r="G341" s="23" t="s">
        <v>587</v>
      </c>
      <c r="H341" s="2" t="str">
        <f>IF(G341="","",IF(G341="EKSPLORASI","EXP-"&amp;TEXT(COUNTIF($G$3:G341,G341),"000"),IF(G341="HSE","HSE-"&amp;TEXT(COUNTIF($G$3:G341,G341),"000"),IF(G341="QAQC","QAQC-"&amp;TEXT(COUNTIF($G$3:G341,G341),"000"),IF(G341="HCGA","HCGA-"&amp;TEXT(COUNTIF($G$3:G341,G341),"000"),IF(G341="MAINTENANCE","MNT-"&amp;TEXT(COUNTIF($G$3:G341,G341),"000"),IF(G341="CIVIL","CIV-"&amp;TEXT(COUNTIF($G$3:G341,G341),"000"),IF(G341="GANIS","GAN-"&amp;TEXT(COUNTIF($G$3:G341,G341),"000"),IF(G341="ENGINEERING","ENG-"&amp;TEXT(COUNTIF($G$3:G341,G341),"000"),IF(G341="PRODUKSI","PRO-"&amp;TEXT(COUNTIF($G$3:G341,G341),"000"),IF(G341="SURVEY","SUR-"&amp;TEXT(COUNTIF($G$3:G341,G341),"000"),"")))))))))))</f>
        <v>HCGA-038</v>
      </c>
      <c r="I341" s="3"/>
      <c r="J341" s="3"/>
    </row>
    <row r="342" spans="2:10" ht="15.5">
      <c r="B342" s="4" t="s">
        <v>671</v>
      </c>
      <c r="C342" s="22" t="s">
        <v>635</v>
      </c>
      <c r="D342" s="46"/>
      <c r="E342" s="40" t="s">
        <v>14</v>
      </c>
      <c r="F342" s="32"/>
      <c r="G342" s="23" t="s">
        <v>587</v>
      </c>
      <c r="H342" s="2" t="str">
        <f>IF(G342="","",IF(G342="EKSPLORASI","EXP-"&amp;TEXT(COUNTIF($G$3:G342,G342),"000"),IF(G342="HSE","HSE-"&amp;TEXT(COUNTIF($G$3:G342,G342),"000"),IF(G342="QAQC","QAQC-"&amp;TEXT(COUNTIF($G$3:G342,G342),"000"),IF(G342="HCGA","HCGA-"&amp;TEXT(COUNTIF($G$3:G342,G342),"000"),IF(G342="MAINTENANCE","MNT-"&amp;TEXT(COUNTIF($G$3:G342,G342),"000"),IF(G342="CIVIL","CIV-"&amp;TEXT(COUNTIF($G$3:G342,G342),"000"),IF(G342="GANIS","GAN-"&amp;TEXT(COUNTIF($G$3:G342,G342),"000"),IF(G342="ENGINEERING","ENG-"&amp;TEXT(COUNTIF($G$3:G342,G342),"000"),IF(G342="PRODUKSI","PRO-"&amp;TEXT(COUNTIF($G$3:G342,G342),"000"),IF(G342="SURVEY","SUR-"&amp;TEXT(COUNTIF($G$3:G342,G342),"000"),"")))))))))))</f>
        <v>HCGA-039</v>
      </c>
      <c r="I342" s="3"/>
      <c r="J342" s="3"/>
    </row>
    <row r="343" spans="2:10" ht="15.5">
      <c r="B343" s="4" t="s">
        <v>673</v>
      </c>
      <c r="C343" s="22" t="s">
        <v>637</v>
      </c>
      <c r="D343" s="46"/>
      <c r="E343" s="40" t="s">
        <v>14</v>
      </c>
      <c r="F343" s="32"/>
      <c r="G343" s="23" t="s">
        <v>587</v>
      </c>
      <c r="H343" s="2" t="str">
        <f>IF(G343="","",IF(G343="EKSPLORASI","EXP-"&amp;TEXT(COUNTIF($G$3:G343,G343),"000"),IF(G343="HSE","HSE-"&amp;TEXT(COUNTIF($G$3:G343,G343),"000"),IF(G343="QAQC","QAQC-"&amp;TEXT(COUNTIF($G$3:G343,G343),"000"),IF(G343="HCGA","HCGA-"&amp;TEXT(COUNTIF($G$3:G343,G343),"000"),IF(G343="MAINTENANCE","MNT-"&amp;TEXT(COUNTIF($G$3:G343,G343),"000"),IF(G343="CIVIL","CIV-"&amp;TEXT(COUNTIF($G$3:G343,G343),"000"),IF(G343="GANIS","GAN-"&amp;TEXT(COUNTIF($G$3:G343,G343),"000"),IF(G343="ENGINEERING","ENG-"&amp;TEXT(COUNTIF($G$3:G343,G343),"000"),IF(G343="PRODUKSI","PRO-"&amp;TEXT(COUNTIF($G$3:G343,G343),"000"),IF(G343="SURVEY","SUR-"&amp;TEXT(COUNTIF($G$3:G343,G343),"000"),"")))))))))))</f>
        <v>HCGA-040</v>
      </c>
      <c r="I343" s="3"/>
      <c r="J343" s="3"/>
    </row>
    <row r="344" spans="2:10" ht="15.5">
      <c r="B344" s="4" t="s">
        <v>675</v>
      </c>
      <c r="C344" s="22" t="s">
        <v>639</v>
      </c>
      <c r="D344" s="46"/>
      <c r="E344" s="40" t="s">
        <v>84</v>
      </c>
      <c r="F344" s="32"/>
      <c r="G344" s="23" t="s">
        <v>587</v>
      </c>
      <c r="H344" s="2" t="str">
        <f>IF(G344="","",IF(G344="EKSPLORASI","EXP-"&amp;TEXT(COUNTIF($G$3:G344,G344),"000"),IF(G344="HSE","HSE-"&amp;TEXT(COUNTIF($G$3:G344,G344),"000"),IF(G344="QAQC","QAQC-"&amp;TEXT(COUNTIF($G$3:G344,G344),"000"),IF(G344="HCGA","HCGA-"&amp;TEXT(COUNTIF($G$3:G344,G344),"000"),IF(G344="MAINTENANCE","MNT-"&amp;TEXT(COUNTIF($G$3:G344,G344),"000"),IF(G344="CIVIL","CIV-"&amp;TEXT(COUNTIF($G$3:G344,G344),"000"),IF(G344="GANIS","GAN-"&amp;TEXT(COUNTIF($G$3:G344,G344),"000"),IF(G344="ENGINEERING","ENG-"&amp;TEXT(COUNTIF($G$3:G344,G344),"000"),IF(G344="PRODUKSI","PRO-"&amp;TEXT(COUNTIF($G$3:G344,G344),"000"),IF(G344="SURVEY","SUR-"&amp;TEXT(COUNTIF($G$3:G344,G344),"000"),"")))))))))))</f>
        <v>HCGA-041</v>
      </c>
      <c r="I344" s="3"/>
      <c r="J344" s="3"/>
    </row>
    <row r="345" spans="2:10" ht="15.5">
      <c r="B345" s="4" t="s">
        <v>677</v>
      </c>
      <c r="C345" s="22" t="s">
        <v>641</v>
      </c>
      <c r="D345" s="46"/>
      <c r="E345" s="40" t="s">
        <v>14</v>
      </c>
      <c r="F345" s="32"/>
      <c r="G345" s="23" t="s">
        <v>587</v>
      </c>
      <c r="H345" s="2" t="str">
        <f>IF(G345="","",IF(G345="EKSPLORASI","EXP-"&amp;TEXT(COUNTIF($G$3:G345,G345),"000"),IF(G345="HSE","HSE-"&amp;TEXT(COUNTIF($G$3:G345,G345),"000"),IF(G345="QAQC","QAQC-"&amp;TEXT(COUNTIF($G$3:G345,G345),"000"),IF(G345="HCGA","HCGA-"&amp;TEXT(COUNTIF($G$3:G345,G345),"000"),IF(G345="MAINTENANCE","MNT-"&amp;TEXT(COUNTIF($G$3:G345,G345),"000"),IF(G345="CIVIL","CIV-"&amp;TEXT(COUNTIF($G$3:G345,G345),"000"),IF(G345="GANIS","GAN-"&amp;TEXT(COUNTIF($G$3:G345,G345),"000"),IF(G345="ENGINEERING","ENG-"&amp;TEXT(COUNTIF($G$3:G345,G345),"000"),IF(G345="PRODUKSI","PRO-"&amp;TEXT(COUNTIF($G$3:G345,G345),"000"),IF(G345="SURVEY","SUR-"&amp;TEXT(COUNTIF($G$3:G345,G345),"000"),"")))))))))))</f>
        <v>HCGA-042</v>
      </c>
      <c r="I345" s="3"/>
      <c r="J345" s="3"/>
    </row>
    <row r="346" spans="2:10" ht="15.5">
      <c r="B346" s="4" t="s">
        <v>678</v>
      </c>
      <c r="C346" s="22" t="s">
        <v>643</v>
      </c>
      <c r="D346" s="46">
        <v>35000</v>
      </c>
      <c r="E346" s="40" t="s">
        <v>235</v>
      </c>
      <c r="F346" s="32"/>
      <c r="G346" s="23" t="s">
        <v>587</v>
      </c>
      <c r="H346" s="2" t="str">
        <f>IF(G346="","",IF(G346="EKSPLORASI","EXP-"&amp;TEXT(COUNTIF($G$3:G346,G346),"000"),IF(G346="HSE","HSE-"&amp;TEXT(COUNTIF($G$3:G346,G346),"000"),IF(G346="QAQC","QAQC-"&amp;TEXT(COUNTIF($G$3:G346,G346),"000"),IF(G346="HCGA","HCGA-"&amp;TEXT(COUNTIF($G$3:G346,G346),"000"),IF(G346="MAINTENANCE","MNT-"&amp;TEXT(COUNTIF($G$3:G346,G346),"000"),IF(G346="CIVIL","CIV-"&amp;TEXT(COUNTIF($G$3:G346,G346),"000"),IF(G346="GANIS","GAN-"&amp;TEXT(COUNTIF($G$3:G346,G346),"000"),IF(G346="ENGINEERING","ENG-"&amp;TEXT(COUNTIF($G$3:G346,G346),"000"),IF(G346="PRODUKSI","PRO-"&amp;TEXT(COUNTIF($G$3:G346,G346),"000"),IF(G346="SURVEY","SUR-"&amp;TEXT(COUNTIF($G$3:G346,G346),"000"),"")))))))))))</f>
        <v>HCGA-043</v>
      </c>
      <c r="I346" s="3"/>
      <c r="J346" s="3"/>
    </row>
    <row r="347" spans="2:10" ht="15.5">
      <c r="B347" s="4" t="s">
        <v>680</v>
      </c>
      <c r="C347" s="22" t="s">
        <v>645</v>
      </c>
      <c r="D347" s="46">
        <v>15000</v>
      </c>
      <c r="E347" s="40" t="s">
        <v>14</v>
      </c>
      <c r="F347" s="39" t="s">
        <v>1085</v>
      </c>
      <c r="G347" s="23" t="s">
        <v>587</v>
      </c>
      <c r="H347" s="2" t="str">
        <f>IF(G347="","",IF(G347="EKSPLORASI","EXP-"&amp;TEXT(COUNTIF($G$3:G347,G347),"000"),IF(G347="HSE","HSE-"&amp;TEXT(COUNTIF($G$3:G347,G347),"000"),IF(G347="QAQC","QAQC-"&amp;TEXT(COUNTIF($G$3:G347,G347),"000"),IF(G347="HCGA","HCGA-"&amp;TEXT(COUNTIF($G$3:G347,G347),"000"),IF(G347="MAINTENANCE","MNT-"&amp;TEXT(COUNTIF($G$3:G347,G347),"000"),IF(G347="CIVIL","CIV-"&amp;TEXT(COUNTIF($G$3:G347,G347),"000"),IF(G347="GANIS","GAN-"&amp;TEXT(COUNTIF($G$3:G347,G347),"000"),IF(G347="ENGINEERING","ENG-"&amp;TEXT(COUNTIF($G$3:G347,G347),"000"),IF(G347="PRODUKSI","PRO-"&amp;TEXT(COUNTIF($G$3:G347,G347),"000"),IF(G347="SURVEY","SUR-"&amp;TEXT(COUNTIF($G$3:G347,G347),"000"),"")))))))))))</f>
        <v>HCGA-044</v>
      </c>
      <c r="I347" s="3"/>
      <c r="J347" s="3"/>
    </row>
    <row r="348" spans="2:10" ht="15.5">
      <c r="B348" s="4" t="s">
        <v>682</v>
      </c>
      <c r="C348" s="22" t="s">
        <v>647</v>
      </c>
      <c r="D348" s="46"/>
      <c r="E348" s="40" t="s">
        <v>79</v>
      </c>
      <c r="F348" s="32"/>
      <c r="G348" s="23" t="s">
        <v>587</v>
      </c>
      <c r="H348" s="2" t="str">
        <f>IF(G348="","",IF(G348="EKSPLORASI","EXP-"&amp;TEXT(COUNTIF($G$3:G348,G348),"000"),IF(G348="HSE","HSE-"&amp;TEXT(COUNTIF($G$3:G348,G348),"000"),IF(G348="QAQC","QAQC-"&amp;TEXT(COUNTIF($G$3:G348,G348),"000"),IF(G348="HCGA","HCGA-"&amp;TEXT(COUNTIF($G$3:G348,G348),"000"),IF(G348="MAINTENANCE","MNT-"&amp;TEXT(COUNTIF($G$3:G348,G348),"000"),IF(G348="CIVIL","CIV-"&amp;TEXT(COUNTIF($G$3:G348,G348),"000"),IF(G348="GANIS","GAN-"&amp;TEXT(COUNTIF($G$3:G348,G348),"000"),IF(G348="ENGINEERING","ENG-"&amp;TEXT(COUNTIF($G$3:G348,G348),"000"),IF(G348="PRODUKSI","PRO-"&amp;TEXT(COUNTIF($G$3:G348,G348),"000"),IF(G348="SURVEY","SUR-"&amp;TEXT(COUNTIF($G$3:G348,G348),"000"),"")))))))))))</f>
        <v>HCGA-045</v>
      </c>
      <c r="I348" s="3"/>
      <c r="J348" s="3"/>
    </row>
    <row r="349" spans="2:10" ht="15.5">
      <c r="B349" s="4" t="s">
        <v>684</v>
      </c>
      <c r="C349" s="22" t="s">
        <v>649</v>
      </c>
      <c r="D349" s="46"/>
      <c r="E349" s="40" t="s">
        <v>79</v>
      </c>
      <c r="F349" s="32"/>
      <c r="G349" s="23" t="s">
        <v>587</v>
      </c>
      <c r="H349" s="2" t="str">
        <f>IF(G349="","",IF(G349="EKSPLORASI","EXP-"&amp;TEXT(COUNTIF($G$3:G349,G349),"000"),IF(G349="HSE","HSE-"&amp;TEXT(COUNTIF($G$3:G349,G349),"000"),IF(G349="QAQC","QAQC-"&amp;TEXT(COUNTIF($G$3:G349,G349),"000"),IF(G349="HCGA","HCGA-"&amp;TEXT(COUNTIF($G$3:G349,G349),"000"),IF(G349="MAINTENANCE","MNT-"&amp;TEXT(COUNTIF($G$3:G349,G349),"000"),IF(G349="CIVIL","CIV-"&amp;TEXT(COUNTIF($G$3:G349,G349),"000"),IF(G349="GANIS","GAN-"&amp;TEXT(COUNTIF($G$3:G349,G349),"000"),IF(G349="ENGINEERING","ENG-"&amp;TEXT(COUNTIF($G$3:G349,G349),"000"),IF(G349="PRODUKSI","PRO-"&amp;TEXT(COUNTIF($G$3:G349,G349),"000"),IF(G349="SURVEY","SUR-"&amp;TEXT(COUNTIF($G$3:G349,G349),"000"),"")))))))))))</f>
        <v>HCGA-046</v>
      </c>
      <c r="I349" s="3"/>
      <c r="J349" s="3"/>
    </row>
    <row r="350" spans="2:10" ht="15.5">
      <c r="B350" s="4" t="s">
        <v>686</v>
      </c>
      <c r="C350" s="22" t="s">
        <v>452</v>
      </c>
      <c r="D350" s="46">
        <v>140000</v>
      </c>
      <c r="E350" s="40" t="s">
        <v>14</v>
      </c>
      <c r="F350" s="45" t="s">
        <v>1100</v>
      </c>
      <c r="G350" s="23" t="s">
        <v>587</v>
      </c>
      <c r="H350" s="2" t="str">
        <f>IF(G350="","",IF(G350="EKSPLORASI","EXP-"&amp;TEXT(COUNTIF($G$3:G350,G350),"000"),IF(G350="HSE","HSE-"&amp;TEXT(COUNTIF($G$3:G350,G350),"000"),IF(G350="QAQC","QAQC-"&amp;TEXT(COUNTIF($G$3:G350,G350),"000"),IF(G350="HCGA","HCGA-"&amp;TEXT(COUNTIF($G$3:G350,G350),"000"),IF(G350="MAINTENANCE","MNT-"&amp;TEXT(COUNTIF($G$3:G350,G350),"000"),IF(G350="CIVIL","CIV-"&amp;TEXT(COUNTIF($G$3:G350,G350),"000"),IF(G350="GANIS","GAN-"&amp;TEXT(COUNTIF($G$3:G350,G350),"000"),IF(G350="ENGINEERING","ENG-"&amp;TEXT(COUNTIF($G$3:G350,G350),"000"),IF(G350="PRODUKSI","PRO-"&amp;TEXT(COUNTIF($G$3:G350,G350),"000"),IF(G350="SURVEY","SUR-"&amp;TEXT(COUNTIF($G$3:G350,G350),"000"),"")))))))))))</f>
        <v>HCGA-047</v>
      </c>
      <c r="I350" s="3"/>
      <c r="J350" s="3"/>
    </row>
    <row r="351" spans="2:10" ht="15.5">
      <c r="B351" s="4" t="s">
        <v>687</v>
      </c>
      <c r="C351" s="22" t="s">
        <v>652</v>
      </c>
      <c r="D351" s="46">
        <v>45000</v>
      </c>
      <c r="E351" s="40" t="s">
        <v>14</v>
      </c>
      <c r="F351" s="45" t="s">
        <v>1098</v>
      </c>
      <c r="G351" s="23" t="s">
        <v>587</v>
      </c>
      <c r="H351" s="2" t="str">
        <f>IF(G351="","",IF(G351="EKSPLORASI","EXP-"&amp;TEXT(COUNTIF($G$3:G351,G351),"000"),IF(G351="HSE","HSE-"&amp;TEXT(COUNTIF($G$3:G351,G351),"000"),IF(G351="QAQC","QAQC-"&amp;TEXT(COUNTIF($G$3:G351,G351),"000"),IF(G351="HCGA","HCGA-"&amp;TEXT(COUNTIF($G$3:G351,G351),"000"),IF(G351="MAINTENANCE","MNT-"&amp;TEXT(COUNTIF($G$3:G351,G351),"000"),IF(G351="CIVIL","CIV-"&amp;TEXT(COUNTIF($G$3:G351,G351),"000"),IF(G351="GANIS","GAN-"&amp;TEXT(COUNTIF($G$3:G351,G351),"000"),IF(G351="ENGINEERING","ENG-"&amp;TEXT(COUNTIF($G$3:G351,G351),"000"),IF(G351="PRODUKSI","PRO-"&amp;TEXT(COUNTIF($G$3:G351,G351),"000"),IF(G351="SURVEY","SUR-"&amp;TEXT(COUNTIF($G$3:G351,G351),"000"),"")))))))))))</f>
        <v>HCGA-048</v>
      </c>
      <c r="I351" s="3"/>
      <c r="J351" s="3"/>
    </row>
    <row r="352" spans="2:10" ht="15.5">
      <c r="B352" s="4" t="s">
        <v>689</v>
      </c>
      <c r="C352" s="22" t="s">
        <v>654</v>
      </c>
      <c r="D352" s="46"/>
      <c r="E352" s="40" t="s">
        <v>11</v>
      </c>
      <c r="F352" s="32"/>
      <c r="G352" s="23" t="s">
        <v>587</v>
      </c>
      <c r="H352" s="2" t="str">
        <f>IF(G352="","",IF(G352="EKSPLORASI","EXP-"&amp;TEXT(COUNTIF($G$3:G352,G352),"000"),IF(G352="HSE","HSE-"&amp;TEXT(COUNTIF($G$3:G352,G352),"000"),IF(G352="QAQC","QAQC-"&amp;TEXT(COUNTIF($G$3:G352,G352),"000"),IF(G352="HCGA","HCGA-"&amp;TEXT(COUNTIF($G$3:G352,G352),"000"),IF(G352="MAINTENANCE","MNT-"&amp;TEXT(COUNTIF($G$3:G352,G352),"000"),IF(G352="CIVIL","CIV-"&amp;TEXT(COUNTIF($G$3:G352,G352),"000"),IF(G352="GANIS","GAN-"&amp;TEXT(COUNTIF($G$3:G352,G352),"000"),IF(G352="ENGINEERING","ENG-"&amp;TEXT(COUNTIF($G$3:G352,G352),"000"),IF(G352="PRODUKSI","PRO-"&amp;TEXT(COUNTIF($G$3:G352,G352),"000"),IF(G352="SURVEY","SUR-"&amp;TEXT(COUNTIF($G$3:G352,G352),"000"),"")))))))))))</f>
        <v>HCGA-049</v>
      </c>
      <c r="I352" s="3"/>
      <c r="J352" s="3"/>
    </row>
    <row r="353" spans="2:10" ht="15.5">
      <c r="B353" s="4" t="s">
        <v>690</v>
      </c>
      <c r="C353" s="22" t="s">
        <v>656</v>
      </c>
      <c r="D353" s="46"/>
      <c r="E353" s="40" t="s">
        <v>11</v>
      </c>
      <c r="F353" s="32"/>
      <c r="G353" s="23" t="s">
        <v>587</v>
      </c>
      <c r="H353" s="2" t="str">
        <f>IF(G353="","",IF(G353="EKSPLORASI","EXP-"&amp;TEXT(COUNTIF($G$3:G353,G353),"000"),IF(G353="HSE","HSE-"&amp;TEXT(COUNTIF($G$3:G353,G353),"000"),IF(G353="QAQC","QAQC-"&amp;TEXT(COUNTIF($G$3:G353,G353),"000"),IF(G353="HCGA","HCGA-"&amp;TEXT(COUNTIF($G$3:G353,G353),"000"),IF(G353="MAINTENANCE","MNT-"&amp;TEXT(COUNTIF($G$3:G353,G353),"000"),IF(G353="CIVIL","CIV-"&amp;TEXT(COUNTIF($G$3:G353,G353),"000"),IF(G353="GANIS","GAN-"&amp;TEXT(COUNTIF($G$3:G353,G353),"000"),IF(G353="ENGINEERING","ENG-"&amp;TEXT(COUNTIF($G$3:G353,G353),"000"),IF(G353="PRODUKSI","PRO-"&amp;TEXT(COUNTIF($G$3:G353,G353),"000"),IF(G353="SURVEY","SUR-"&amp;TEXT(COUNTIF($G$3:G353,G353),"000"),"")))))))))))</f>
        <v>HCGA-050</v>
      </c>
      <c r="I353" s="3"/>
      <c r="J353" s="3"/>
    </row>
    <row r="354" spans="2:10" ht="15.5">
      <c r="B354" s="4" t="s">
        <v>692</v>
      </c>
      <c r="C354" s="22" t="s">
        <v>185</v>
      </c>
      <c r="D354" s="46"/>
      <c r="E354" s="40" t="s">
        <v>11</v>
      </c>
      <c r="F354" s="32"/>
      <c r="G354" s="23" t="s">
        <v>587</v>
      </c>
      <c r="H354" s="2" t="str">
        <f>IF(G354="","",IF(G354="EKSPLORASI","EXP-"&amp;TEXT(COUNTIF($G$3:G354,G354),"000"),IF(G354="HSE","HSE-"&amp;TEXT(COUNTIF($G$3:G354,G354),"000"),IF(G354="QAQC","QAQC-"&amp;TEXT(COUNTIF($G$3:G354,G354),"000"),IF(G354="HCGA","HCGA-"&amp;TEXT(COUNTIF($G$3:G354,G354),"000"),IF(G354="MAINTENANCE","MNT-"&amp;TEXT(COUNTIF($G$3:G354,G354),"000"),IF(G354="CIVIL","CIV-"&amp;TEXT(COUNTIF($G$3:G354,G354),"000"),IF(G354="GANIS","GAN-"&amp;TEXT(COUNTIF($G$3:G354,G354),"000"),IF(G354="ENGINEERING","ENG-"&amp;TEXT(COUNTIF($G$3:G354,G354),"000"),IF(G354="PRODUKSI","PRO-"&amp;TEXT(COUNTIF($G$3:G354,G354),"000"),IF(G354="SURVEY","SUR-"&amp;TEXT(COUNTIF($G$3:G354,G354),"000"),"")))))))))))</f>
        <v>HCGA-051</v>
      </c>
      <c r="I354" s="3"/>
      <c r="J354" s="3"/>
    </row>
    <row r="355" spans="2:10" ht="15.5">
      <c r="B355" s="4" t="s">
        <v>694</v>
      </c>
      <c r="C355" s="22" t="s">
        <v>659</v>
      </c>
      <c r="D355" s="46"/>
      <c r="E355" s="40" t="s">
        <v>84</v>
      </c>
      <c r="F355" s="32"/>
      <c r="G355" s="23" t="s">
        <v>587</v>
      </c>
      <c r="H355" s="2" t="str">
        <f>IF(G355="","",IF(G355="EKSPLORASI","EXP-"&amp;TEXT(COUNTIF($G$3:G355,G355),"000"),IF(G355="HSE","HSE-"&amp;TEXT(COUNTIF($G$3:G355,G355),"000"),IF(G355="QAQC","QAQC-"&amp;TEXT(COUNTIF($G$3:G355,G355),"000"),IF(G355="HCGA","HCGA-"&amp;TEXT(COUNTIF($G$3:G355,G355),"000"),IF(G355="MAINTENANCE","MNT-"&amp;TEXT(COUNTIF($G$3:G355,G355),"000"),IF(G355="CIVIL","CIV-"&amp;TEXT(COUNTIF($G$3:G355,G355),"000"),IF(G355="GANIS","GAN-"&amp;TEXT(COUNTIF($G$3:G355,G355),"000"),IF(G355="ENGINEERING","ENG-"&amp;TEXT(COUNTIF($G$3:G355,G355),"000"),IF(G355="PRODUKSI","PRO-"&amp;TEXT(COUNTIF($G$3:G355,G355),"000"),IF(G355="SURVEY","SUR-"&amp;TEXT(COUNTIF($G$3:G355,G355),"000"),"")))))))))))</f>
        <v>HCGA-052</v>
      </c>
      <c r="I355" s="3"/>
      <c r="J355" s="3"/>
    </row>
    <row r="356" spans="2:10" ht="15.5">
      <c r="B356" s="4" t="s">
        <v>696</v>
      </c>
      <c r="C356" s="22" t="s">
        <v>661</v>
      </c>
      <c r="D356" s="46"/>
      <c r="E356" s="40" t="s">
        <v>14</v>
      </c>
      <c r="F356" s="32"/>
      <c r="G356" s="23" t="s">
        <v>587</v>
      </c>
      <c r="H356" s="2" t="str">
        <f>IF(G356="","",IF(G356="EKSPLORASI","EXP-"&amp;TEXT(COUNTIF($G$3:G356,G356),"000"),IF(G356="HSE","HSE-"&amp;TEXT(COUNTIF($G$3:G356,G356),"000"),IF(G356="QAQC","QAQC-"&amp;TEXT(COUNTIF($G$3:G356,G356),"000"),IF(G356="HCGA","HCGA-"&amp;TEXT(COUNTIF($G$3:G356,G356),"000"),IF(G356="MAINTENANCE","MNT-"&amp;TEXT(COUNTIF($G$3:G356,G356),"000"),IF(G356="CIVIL","CIV-"&amp;TEXT(COUNTIF($G$3:G356,G356),"000"),IF(G356="GANIS","GAN-"&amp;TEXT(COUNTIF($G$3:G356,G356),"000"),IF(G356="ENGINEERING","ENG-"&amp;TEXT(COUNTIF($G$3:G356,G356),"000"),IF(G356="PRODUKSI","PRO-"&amp;TEXT(COUNTIF($G$3:G356,G356),"000"),IF(G356="SURVEY","SUR-"&amp;TEXT(COUNTIF($G$3:G356,G356),"000"),"")))))))))))</f>
        <v>HCGA-053</v>
      </c>
      <c r="I356" s="3"/>
      <c r="J356" s="3"/>
    </row>
    <row r="357" spans="2:10" ht="15.5">
      <c r="B357" s="4" t="s">
        <v>698</v>
      </c>
      <c r="C357" s="22" t="s">
        <v>663</v>
      </c>
      <c r="D357" s="46">
        <v>50000</v>
      </c>
      <c r="E357" s="40" t="s">
        <v>14</v>
      </c>
      <c r="F357" s="32" t="s">
        <v>1085</v>
      </c>
      <c r="G357" s="23" t="s">
        <v>587</v>
      </c>
      <c r="H357" s="2" t="str">
        <f>IF(G357="","",IF(G357="EKSPLORASI","EXP-"&amp;TEXT(COUNTIF($G$3:G357,G357),"000"),IF(G357="HSE","HSE-"&amp;TEXT(COUNTIF($G$3:G357,G357),"000"),IF(G357="QAQC","QAQC-"&amp;TEXT(COUNTIF($G$3:G357,G357),"000"),IF(G357="HCGA","HCGA-"&amp;TEXT(COUNTIF($G$3:G357,G357),"000"),IF(G357="MAINTENANCE","MNT-"&amp;TEXT(COUNTIF($G$3:G357,G357),"000"),IF(G357="CIVIL","CIV-"&amp;TEXT(COUNTIF($G$3:G357,G357),"000"),IF(G357="GANIS","GAN-"&amp;TEXT(COUNTIF($G$3:G357,G357),"000"),IF(G357="ENGINEERING","ENG-"&amp;TEXT(COUNTIF($G$3:G357,G357),"000"),IF(G357="PRODUKSI","PRO-"&amp;TEXT(COUNTIF($G$3:G357,G357),"000"),IF(G357="SURVEY","SUR-"&amp;TEXT(COUNTIF($G$3:G357,G357),"000"),"")))))))))))</f>
        <v>HCGA-054</v>
      </c>
      <c r="I357" s="3"/>
      <c r="J357" s="3"/>
    </row>
    <row r="358" spans="2:10" ht="15.5">
      <c r="B358" s="4" t="s">
        <v>699</v>
      </c>
      <c r="C358" s="22" t="s">
        <v>665</v>
      </c>
      <c r="D358" s="46">
        <v>50000</v>
      </c>
      <c r="E358" s="40" t="s">
        <v>14</v>
      </c>
      <c r="F358" s="32" t="s">
        <v>1085</v>
      </c>
      <c r="G358" s="23" t="s">
        <v>587</v>
      </c>
      <c r="H358" s="2" t="str">
        <f>IF(G358="","",IF(G358="EKSPLORASI","EXP-"&amp;TEXT(COUNTIF($G$3:G358,G358),"000"),IF(G358="HSE","HSE-"&amp;TEXT(COUNTIF($G$3:G358,G358),"000"),IF(G358="QAQC","QAQC-"&amp;TEXT(COUNTIF($G$3:G358,G358),"000"),IF(G358="HCGA","HCGA-"&amp;TEXT(COUNTIF($G$3:G358,G358),"000"),IF(G358="MAINTENANCE","MNT-"&amp;TEXT(COUNTIF($G$3:G358,G358),"000"),IF(G358="CIVIL","CIV-"&amp;TEXT(COUNTIF($G$3:G358,G358),"000"),IF(G358="GANIS","GAN-"&amp;TEXT(COUNTIF($G$3:G358,G358),"000"),IF(G358="ENGINEERING","ENG-"&amp;TEXT(COUNTIF($G$3:G358,G358),"000"),IF(G358="PRODUKSI","PRO-"&amp;TEXT(COUNTIF($G$3:G358,G358),"000"),IF(G358="SURVEY","SUR-"&amp;TEXT(COUNTIF($G$3:G358,G358),"000"),"")))))))))))</f>
        <v>HCGA-055</v>
      </c>
      <c r="I358" s="3"/>
      <c r="J358" s="3"/>
    </row>
    <row r="359" spans="2:10" ht="15.5">
      <c r="B359" s="4" t="s">
        <v>701</v>
      </c>
      <c r="C359" s="22" t="s">
        <v>667</v>
      </c>
      <c r="D359" s="46">
        <v>35000</v>
      </c>
      <c r="E359" s="40" t="s">
        <v>14</v>
      </c>
      <c r="F359" s="32" t="s">
        <v>1102</v>
      </c>
      <c r="G359" s="23" t="s">
        <v>587</v>
      </c>
      <c r="H359" s="2" t="str">
        <f>IF(G359="","",IF(G359="EKSPLORASI","EXP-"&amp;TEXT(COUNTIF($G$3:G359,G359),"000"),IF(G359="HSE","HSE-"&amp;TEXT(COUNTIF($G$3:G359,G359),"000"),IF(G359="QAQC","QAQC-"&amp;TEXT(COUNTIF($G$3:G359,G359),"000"),IF(G359="HCGA","HCGA-"&amp;TEXT(COUNTIF($G$3:G359,G359),"000"),IF(G359="MAINTENANCE","MNT-"&amp;TEXT(COUNTIF($G$3:G359,G359),"000"),IF(G359="CIVIL","CIV-"&amp;TEXT(COUNTIF($G$3:G359,G359),"000"),IF(G359="GANIS","GAN-"&amp;TEXT(COUNTIF($G$3:G359,G359),"000"),IF(G359="ENGINEERING","ENG-"&amp;TEXT(COUNTIF($G$3:G359,G359),"000"),IF(G359="PRODUKSI","PRO-"&amp;TEXT(COUNTIF($G$3:G359,G359),"000"),IF(G359="SURVEY","SUR-"&amp;TEXT(COUNTIF($G$3:G359,G359),"000"),"")))))))))))</f>
        <v>HCGA-056</v>
      </c>
      <c r="I359" s="3"/>
      <c r="J359" s="3"/>
    </row>
    <row r="360" spans="2:10" ht="15.5">
      <c r="B360" s="4" t="s">
        <v>703</v>
      </c>
      <c r="C360" s="22" t="s">
        <v>594</v>
      </c>
      <c r="D360" s="46"/>
      <c r="E360" s="40" t="s">
        <v>56</v>
      </c>
      <c r="F360" s="32"/>
      <c r="G360" s="23" t="s">
        <v>587</v>
      </c>
      <c r="H360" s="2" t="str">
        <f>IF(G360="","",IF(G360="EKSPLORASI","EXP-"&amp;TEXT(COUNTIF($G$3:G360,G360),"000"),IF(G360="HSE","HSE-"&amp;TEXT(COUNTIF($G$3:G360,G360),"000"),IF(G360="QAQC","QAQC-"&amp;TEXT(COUNTIF($G$3:G360,G360),"000"),IF(G360="HCGA","HCGA-"&amp;TEXT(COUNTIF($G$3:G360,G360),"000"),IF(G360="MAINTENANCE","MNT-"&amp;TEXT(COUNTIF($G$3:G360,G360),"000"),IF(G360="CIVIL","CIV-"&amp;TEXT(COUNTIF($G$3:G360,G360),"000"),IF(G360="GANIS","GAN-"&amp;TEXT(COUNTIF($G$3:G360,G360),"000"),IF(G360="ENGINEERING","ENG-"&amp;TEXT(COUNTIF($G$3:G360,G360),"000"),IF(G360="PRODUKSI","PRO-"&amp;TEXT(COUNTIF($G$3:G360,G360),"000"),IF(G360="SURVEY","SUR-"&amp;TEXT(COUNTIF($G$3:G360,G360),"000"),"")))))))))))</f>
        <v>HCGA-057</v>
      </c>
      <c r="I360" s="3"/>
      <c r="J360" s="3"/>
    </row>
    <row r="361" spans="2:10" ht="15.5">
      <c r="B361" s="4" t="s">
        <v>705</v>
      </c>
      <c r="C361" s="22" t="s">
        <v>670</v>
      </c>
      <c r="D361" s="46"/>
      <c r="E361" s="40" t="s">
        <v>56</v>
      </c>
      <c r="F361" s="32"/>
      <c r="G361" s="23" t="s">
        <v>587</v>
      </c>
      <c r="H361" s="2" t="str">
        <f>IF(G361="","",IF(G361="EKSPLORASI","EXP-"&amp;TEXT(COUNTIF($G$3:G361,G361),"000"),IF(G361="HSE","HSE-"&amp;TEXT(COUNTIF($G$3:G361,G361),"000"),IF(G361="QAQC","QAQC-"&amp;TEXT(COUNTIF($G$3:G361,G361),"000"),IF(G361="HCGA","HCGA-"&amp;TEXT(COUNTIF($G$3:G361,G361),"000"),IF(G361="MAINTENANCE","MNT-"&amp;TEXT(COUNTIF($G$3:G361,G361),"000"),IF(G361="CIVIL","CIV-"&amp;TEXT(COUNTIF($G$3:G361,G361),"000"),IF(G361="GANIS","GAN-"&amp;TEXT(COUNTIF($G$3:G361,G361),"000"),IF(G361="ENGINEERING","ENG-"&amp;TEXT(COUNTIF($G$3:G361,G361),"000"),IF(G361="PRODUKSI","PRO-"&amp;TEXT(COUNTIF($G$3:G361,G361),"000"),IF(G361="SURVEY","SUR-"&amp;TEXT(COUNTIF($G$3:G361,G361),"000"),"")))))))))))</f>
        <v>HCGA-058</v>
      </c>
      <c r="I361" s="3"/>
      <c r="J361" s="3"/>
    </row>
    <row r="362" spans="2:10" ht="15.5">
      <c r="B362" s="4" t="s">
        <v>706</v>
      </c>
      <c r="C362" s="22" t="s">
        <v>672</v>
      </c>
      <c r="D362" s="46"/>
      <c r="E362" s="40" t="s">
        <v>14</v>
      </c>
      <c r="F362" s="32"/>
      <c r="G362" s="23" t="s">
        <v>587</v>
      </c>
      <c r="H362" s="2" t="str">
        <f>IF(G362="","",IF(G362="EKSPLORASI","EXP-"&amp;TEXT(COUNTIF($G$3:G362,G362),"000"),IF(G362="HSE","HSE-"&amp;TEXT(COUNTIF($G$3:G362,G362),"000"),IF(G362="QAQC","QAQC-"&amp;TEXT(COUNTIF($G$3:G362,G362),"000"),IF(G362="HCGA","HCGA-"&amp;TEXT(COUNTIF($G$3:G362,G362),"000"),IF(G362="MAINTENANCE","MNT-"&amp;TEXT(COUNTIF($G$3:G362,G362),"000"),IF(G362="CIVIL","CIV-"&amp;TEXT(COUNTIF($G$3:G362,G362),"000"),IF(G362="GANIS","GAN-"&amp;TEXT(COUNTIF($G$3:G362,G362),"000"),IF(G362="ENGINEERING","ENG-"&amp;TEXT(COUNTIF($G$3:G362,G362),"000"),IF(G362="PRODUKSI","PRO-"&amp;TEXT(COUNTIF($G$3:G362,G362),"000"),IF(G362="SURVEY","SUR-"&amp;TEXT(COUNTIF($G$3:G362,G362),"000"),"")))))))))))</f>
        <v>HCGA-059</v>
      </c>
      <c r="I362" s="3"/>
      <c r="J362" s="3"/>
    </row>
    <row r="363" spans="2:10" ht="15.5">
      <c r="B363" s="4" t="s">
        <v>707</v>
      </c>
      <c r="C363" s="22" t="s">
        <v>674</v>
      </c>
      <c r="D363" s="46"/>
      <c r="E363" s="40" t="s">
        <v>14</v>
      </c>
      <c r="F363" s="32"/>
      <c r="G363" s="23" t="s">
        <v>587</v>
      </c>
      <c r="H363" s="2" t="str">
        <f>IF(G363="","",IF(G363="EKSPLORASI","EXP-"&amp;TEXT(COUNTIF($G$3:G363,G363),"000"),IF(G363="HSE","HSE-"&amp;TEXT(COUNTIF($G$3:G363,G363),"000"),IF(G363="QAQC","QAQC-"&amp;TEXT(COUNTIF($G$3:G363,G363),"000"),IF(G363="HCGA","HCGA-"&amp;TEXT(COUNTIF($G$3:G363,G363),"000"),IF(G363="MAINTENANCE","MNT-"&amp;TEXT(COUNTIF($G$3:G363,G363),"000"),IF(G363="CIVIL","CIV-"&amp;TEXT(COUNTIF($G$3:G363,G363),"000"),IF(G363="GANIS","GAN-"&amp;TEXT(COUNTIF($G$3:G363,G363),"000"),IF(G363="ENGINEERING","ENG-"&amp;TEXT(COUNTIF($G$3:G363,G363),"000"),IF(G363="PRODUKSI","PRO-"&amp;TEXT(COUNTIF($G$3:G363,G363),"000"),IF(G363="SURVEY","SUR-"&amp;TEXT(COUNTIF($G$3:G363,G363),"000"),"")))))))))))</f>
        <v>HCGA-060</v>
      </c>
      <c r="I363" s="3"/>
      <c r="J363" s="3"/>
    </row>
    <row r="364" spans="2:10" ht="15.5">
      <c r="B364" s="4" t="s">
        <v>708</v>
      </c>
      <c r="C364" s="22" t="s">
        <v>676</v>
      </c>
      <c r="D364" s="46"/>
      <c r="E364" s="40" t="s">
        <v>14</v>
      </c>
      <c r="F364" s="32"/>
      <c r="G364" s="23" t="s">
        <v>587</v>
      </c>
      <c r="H364" s="2" t="str">
        <f>IF(G364="","",IF(G364="EKSPLORASI","EXP-"&amp;TEXT(COUNTIF($G$3:G364,G364),"000"),IF(G364="HSE","HSE-"&amp;TEXT(COUNTIF($G$3:G364,G364),"000"),IF(G364="QAQC","QAQC-"&amp;TEXT(COUNTIF($G$3:G364,G364),"000"),IF(G364="HCGA","HCGA-"&amp;TEXT(COUNTIF($G$3:G364,G364),"000"),IF(G364="MAINTENANCE","MNT-"&amp;TEXT(COUNTIF($G$3:G364,G364),"000"),IF(G364="CIVIL","CIV-"&amp;TEXT(COUNTIF($G$3:G364,G364),"000"),IF(G364="GANIS","GAN-"&amp;TEXT(COUNTIF($G$3:G364,G364),"000"),IF(G364="ENGINEERING","ENG-"&amp;TEXT(COUNTIF($G$3:G364,G364),"000"),IF(G364="PRODUKSI","PRO-"&amp;TEXT(COUNTIF($G$3:G364,G364),"000"),IF(G364="SURVEY","SUR-"&amp;TEXT(COUNTIF($G$3:G364,G364),"000"),"")))))))))))</f>
        <v>HCGA-061</v>
      </c>
      <c r="I364" s="3"/>
      <c r="J364" s="3"/>
    </row>
    <row r="365" spans="2:10" ht="15.5">
      <c r="B365" s="4" t="s">
        <v>710</v>
      </c>
      <c r="C365" s="22" t="s">
        <v>397</v>
      </c>
      <c r="D365" s="46"/>
      <c r="E365" s="40" t="s">
        <v>14</v>
      </c>
      <c r="F365" s="32"/>
      <c r="G365" s="23" t="s">
        <v>587</v>
      </c>
      <c r="H365" s="2" t="str">
        <f>IF(G365="","",IF(G365="EKSPLORASI","EXP-"&amp;TEXT(COUNTIF($G$3:G365,G365),"000"),IF(G365="HSE","HSE-"&amp;TEXT(COUNTIF($G$3:G365,G365),"000"),IF(G365="QAQC","QAQC-"&amp;TEXT(COUNTIF($G$3:G365,G365),"000"),IF(G365="HCGA","HCGA-"&amp;TEXT(COUNTIF($G$3:G365,G365),"000"),IF(G365="MAINTENANCE","MNT-"&amp;TEXT(COUNTIF($G$3:G365,G365),"000"),IF(G365="CIVIL","CIV-"&amp;TEXT(COUNTIF($G$3:G365,G365),"000"),IF(G365="GANIS","GAN-"&amp;TEXT(COUNTIF($G$3:G365,G365),"000"),IF(G365="ENGINEERING","ENG-"&amp;TEXT(COUNTIF($G$3:G365,G365),"000"),IF(G365="PRODUKSI","PRO-"&amp;TEXT(COUNTIF($G$3:G365,G365),"000"),IF(G365="SURVEY","SUR-"&amp;TEXT(COUNTIF($G$3:G365,G365),"000"),"")))))))))))</f>
        <v>HCGA-062</v>
      </c>
      <c r="I365" s="3"/>
      <c r="J365" s="3"/>
    </row>
    <row r="366" spans="2:10" ht="15.5">
      <c r="B366" s="4" t="s">
        <v>712</v>
      </c>
      <c r="C366" s="22" t="s">
        <v>679</v>
      </c>
      <c r="D366" s="46"/>
      <c r="E366" s="40" t="s">
        <v>46</v>
      </c>
      <c r="F366" s="32"/>
      <c r="G366" s="23" t="s">
        <v>587</v>
      </c>
      <c r="H366" s="2" t="str">
        <f>IF(G366="","",IF(G366="EKSPLORASI","EXP-"&amp;TEXT(COUNTIF($G$3:G366,G366),"000"),IF(G366="HSE","HSE-"&amp;TEXT(COUNTIF($G$3:G366,G366),"000"),IF(G366="QAQC","QAQC-"&amp;TEXT(COUNTIF($G$3:G366,G366),"000"),IF(G366="HCGA","HCGA-"&amp;TEXT(COUNTIF($G$3:G366,G366),"000"),IF(G366="MAINTENANCE","MNT-"&amp;TEXT(COUNTIF($G$3:G366,G366),"000"),IF(G366="CIVIL","CIV-"&amp;TEXT(COUNTIF($G$3:G366,G366),"000"),IF(G366="GANIS","GAN-"&amp;TEXT(COUNTIF($G$3:G366,G366),"000"),IF(G366="ENGINEERING","ENG-"&amp;TEXT(COUNTIF($G$3:G366,G366),"000"),IF(G366="PRODUKSI","PRO-"&amp;TEXT(COUNTIF($G$3:G366,G366),"000"),IF(G366="SURVEY","SUR-"&amp;TEXT(COUNTIF($G$3:G366,G366),"000"),"")))))))))))</f>
        <v>HCGA-063</v>
      </c>
      <c r="I366" s="3"/>
      <c r="J366" s="3"/>
    </row>
    <row r="367" spans="2:10" ht="15.5">
      <c r="B367" s="4" t="s">
        <v>714</v>
      </c>
      <c r="C367" s="22" t="s">
        <v>681</v>
      </c>
      <c r="D367" s="46"/>
      <c r="E367" s="40" t="s">
        <v>14</v>
      </c>
      <c r="F367" s="32"/>
      <c r="G367" s="23" t="s">
        <v>587</v>
      </c>
      <c r="H367" s="2" t="str">
        <f>IF(G367="","",IF(G367="EKSPLORASI","EXP-"&amp;TEXT(COUNTIF($G$3:G367,G367),"000"),IF(G367="HSE","HSE-"&amp;TEXT(COUNTIF($G$3:G367,G367),"000"),IF(G367="QAQC","QAQC-"&amp;TEXT(COUNTIF($G$3:G367,G367),"000"),IF(G367="HCGA","HCGA-"&amp;TEXT(COUNTIF($G$3:G367,G367),"000"),IF(G367="MAINTENANCE","MNT-"&amp;TEXT(COUNTIF($G$3:G367,G367),"000"),IF(G367="CIVIL","CIV-"&amp;TEXT(COUNTIF($G$3:G367,G367),"000"),IF(G367="GANIS","GAN-"&amp;TEXT(COUNTIF($G$3:G367,G367),"000"),IF(G367="ENGINEERING","ENG-"&amp;TEXT(COUNTIF($G$3:G367,G367),"000"),IF(G367="PRODUKSI","PRO-"&amp;TEXT(COUNTIF($G$3:G367,G367),"000"),IF(G367="SURVEY","SUR-"&amp;TEXT(COUNTIF($G$3:G367,G367),"000"),"")))))))))))</f>
        <v>HCGA-064</v>
      </c>
      <c r="I367" s="3"/>
      <c r="J367" s="3"/>
    </row>
    <row r="368" spans="2:10" ht="15.5">
      <c r="B368" s="4" t="s">
        <v>716</v>
      </c>
      <c r="C368" s="22" t="s">
        <v>683</v>
      </c>
      <c r="D368" s="46"/>
      <c r="E368" s="40" t="s">
        <v>14</v>
      </c>
      <c r="F368" s="32"/>
      <c r="G368" s="23" t="s">
        <v>587</v>
      </c>
      <c r="H368" s="2" t="str">
        <f>IF(G368="","",IF(G368="EKSPLORASI","EXP-"&amp;TEXT(COUNTIF($G$3:G368,G368),"000"),IF(G368="HSE","HSE-"&amp;TEXT(COUNTIF($G$3:G368,G368),"000"),IF(G368="QAQC","QAQC-"&amp;TEXT(COUNTIF($G$3:G368,G368),"000"),IF(G368="HCGA","HCGA-"&amp;TEXT(COUNTIF($G$3:G368,G368),"000"),IF(G368="MAINTENANCE","MNT-"&amp;TEXT(COUNTIF($G$3:G368,G368),"000"),IF(G368="CIVIL","CIV-"&amp;TEXT(COUNTIF($G$3:G368,G368),"000"),IF(G368="GANIS","GAN-"&amp;TEXT(COUNTIF($G$3:G368,G368),"000"),IF(G368="ENGINEERING","ENG-"&amp;TEXT(COUNTIF($G$3:G368,G368),"000"),IF(G368="PRODUKSI","PRO-"&amp;TEXT(COUNTIF($G$3:G368,G368),"000"),IF(G368="SURVEY","SUR-"&amp;TEXT(COUNTIF($G$3:G368,G368),"000"),"")))))))))))</f>
        <v>HCGA-065</v>
      </c>
      <c r="I368" s="3"/>
      <c r="J368" s="3"/>
    </row>
    <row r="369" spans="2:10" ht="15.5">
      <c r="B369" s="4" t="s">
        <v>718</v>
      </c>
      <c r="C369" s="22" t="s">
        <v>685</v>
      </c>
      <c r="D369" s="46"/>
      <c r="E369" s="40" t="s">
        <v>14</v>
      </c>
      <c r="F369" s="32"/>
      <c r="G369" s="23" t="s">
        <v>587</v>
      </c>
      <c r="H369" s="2" t="str">
        <f>IF(G369="","",IF(G369="EKSPLORASI","EXP-"&amp;TEXT(COUNTIF($G$3:G369,G369),"000"),IF(G369="HSE","HSE-"&amp;TEXT(COUNTIF($G$3:G369,G369),"000"),IF(G369="QAQC","QAQC-"&amp;TEXT(COUNTIF($G$3:G369,G369),"000"),IF(G369="HCGA","HCGA-"&amp;TEXT(COUNTIF($G$3:G369,G369),"000"),IF(G369="MAINTENANCE","MNT-"&amp;TEXT(COUNTIF($G$3:G369,G369),"000"),IF(G369="CIVIL","CIV-"&amp;TEXT(COUNTIF($G$3:G369,G369),"000"),IF(G369="GANIS","GAN-"&amp;TEXT(COUNTIF($G$3:G369,G369),"000"),IF(G369="ENGINEERING","ENG-"&amp;TEXT(COUNTIF($G$3:G369,G369),"000"),IF(G369="PRODUKSI","PRO-"&amp;TEXT(COUNTIF($G$3:G369,G369),"000"),IF(G369="SURVEY","SUR-"&amp;TEXT(COUNTIF($G$3:G369,G369),"000"),"")))))))))))</f>
        <v>HCGA-066</v>
      </c>
      <c r="I369" s="3"/>
      <c r="J369" s="3"/>
    </row>
    <row r="370" spans="2:10" ht="15.5">
      <c r="B370" s="4" t="s">
        <v>720</v>
      </c>
      <c r="C370" s="22" t="s">
        <v>583</v>
      </c>
      <c r="D370" s="46"/>
      <c r="E370" s="40" t="s">
        <v>14</v>
      </c>
      <c r="F370" s="32"/>
      <c r="G370" s="23" t="s">
        <v>587</v>
      </c>
      <c r="H370" s="2" t="str">
        <f>IF(G370="","",IF(G370="EKSPLORASI","EXP-"&amp;TEXT(COUNTIF($G$3:G370,G370),"000"),IF(G370="HSE","HSE-"&amp;TEXT(COUNTIF($G$3:G370,G370),"000"),IF(G370="QAQC","QAQC-"&amp;TEXT(COUNTIF($G$3:G370,G370),"000"),IF(G370="HCGA","HCGA-"&amp;TEXT(COUNTIF($G$3:G370,G370),"000"),IF(G370="MAINTENANCE","MNT-"&amp;TEXT(COUNTIF($G$3:G370,G370),"000"),IF(G370="CIVIL","CIV-"&amp;TEXT(COUNTIF($G$3:G370,G370),"000"),IF(G370="GANIS","GAN-"&amp;TEXT(COUNTIF($G$3:G370,G370),"000"),IF(G370="ENGINEERING","ENG-"&amp;TEXT(COUNTIF($G$3:G370,G370),"000"),IF(G370="PRODUKSI","PRO-"&amp;TEXT(COUNTIF($G$3:G370,G370),"000"),IF(G370="SURVEY","SUR-"&amp;TEXT(COUNTIF($G$3:G370,G370),"000"),"")))))))))))</f>
        <v>HCGA-067</v>
      </c>
      <c r="I370" s="3"/>
      <c r="J370" s="3"/>
    </row>
    <row r="371" spans="2:10" ht="15.5">
      <c r="B371" s="4" t="s">
        <v>721</v>
      </c>
      <c r="C371" s="22" t="s">
        <v>688</v>
      </c>
      <c r="D371" s="46"/>
      <c r="E371" s="40" t="s">
        <v>56</v>
      </c>
      <c r="F371" s="32"/>
      <c r="G371" s="23" t="s">
        <v>587</v>
      </c>
      <c r="H371" s="2" t="str">
        <f>IF(G371="","",IF(G371="EKSPLORASI","EXP-"&amp;TEXT(COUNTIF($G$3:G371,G371),"000"),IF(G371="HSE","HSE-"&amp;TEXT(COUNTIF($G$3:G371,G371),"000"),IF(G371="QAQC","QAQC-"&amp;TEXT(COUNTIF($G$3:G371,G371),"000"),IF(G371="HCGA","HCGA-"&amp;TEXT(COUNTIF($G$3:G371,G371),"000"),IF(G371="MAINTENANCE","MNT-"&amp;TEXT(COUNTIF($G$3:G371,G371),"000"),IF(G371="CIVIL","CIV-"&amp;TEXT(COUNTIF($G$3:G371,G371),"000"),IF(G371="GANIS","GAN-"&amp;TEXT(COUNTIF($G$3:G371,G371),"000"),IF(G371="ENGINEERING","ENG-"&amp;TEXT(COUNTIF($G$3:G371,G371),"000"),IF(G371="PRODUKSI","PRO-"&amp;TEXT(COUNTIF($G$3:G371,G371),"000"),IF(G371="SURVEY","SUR-"&amp;TEXT(COUNTIF($G$3:G371,G371),"000"),"")))))))))))</f>
        <v>HCGA-068</v>
      </c>
      <c r="I371" s="3"/>
      <c r="J371" s="3"/>
    </row>
    <row r="372" spans="2:10" ht="15.5">
      <c r="B372" s="4" t="s">
        <v>724</v>
      </c>
      <c r="C372" s="22" t="s">
        <v>381</v>
      </c>
      <c r="D372" s="46"/>
      <c r="E372" s="40" t="s">
        <v>382</v>
      </c>
      <c r="F372" s="32"/>
      <c r="G372" s="23" t="s">
        <v>587</v>
      </c>
      <c r="H372" s="2" t="str">
        <f>IF(G372="","",IF(G372="EKSPLORASI","EXP-"&amp;TEXT(COUNTIF($G$3:G372,G372),"000"),IF(G372="HSE","HSE-"&amp;TEXT(COUNTIF($G$3:G372,G372),"000"),IF(G372="QAQC","QAQC-"&amp;TEXT(COUNTIF($G$3:G372,G372),"000"),IF(G372="HCGA","HCGA-"&amp;TEXT(COUNTIF($G$3:G372,G372),"000"),IF(G372="MAINTENANCE","MNT-"&amp;TEXT(COUNTIF($G$3:G372,G372),"000"),IF(G372="CIVIL","CIV-"&amp;TEXT(COUNTIF($G$3:G372,G372),"000"),IF(G372="GANIS","GAN-"&amp;TEXT(COUNTIF($G$3:G372,G372),"000"),IF(G372="ENGINEERING","ENG-"&amp;TEXT(COUNTIF($G$3:G372,G372),"000"),IF(G372="PRODUKSI","PRO-"&amp;TEXT(COUNTIF($G$3:G372,G372),"000"),IF(G372="SURVEY","SUR-"&amp;TEXT(COUNTIF($G$3:G372,G372),"000"),"")))))))))))</f>
        <v>HCGA-069</v>
      </c>
      <c r="I372" s="3"/>
      <c r="J372" s="3"/>
    </row>
    <row r="373" spans="2:10" ht="15.5">
      <c r="B373" s="4" t="s">
        <v>725</v>
      </c>
      <c r="C373" s="22" t="s">
        <v>691</v>
      </c>
      <c r="D373" s="46"/>
      <c r="E373" s="40" t="s">
        <v>14</v>
      </c>
      <c r="F373" s="32"/>
      <c r="G373" s="23" t="s">
        <v>587</v>
      </c>
      <c r="H373" s="2" t="str">
        <f>IF(G373="","",IF(G373="EKSPLORASI","EXP-"&amp;TEXT(COUNTIF($G$3:G373,G373),"000"),IF(G373="HSE","HSE-"&amp;TEXT(COUNTIF($G$3:G373,G373),"000"),IF(G373="QAQC","QAQC-"&amp;TEXT(COUNTIF($G$3:G373,G373),"000"),IF(G373="HCGA","HCGA-"&amp;TEXT(COUNTIF($G$3:G373,G373),"000"),IF(G373="MAINTENANCE","MNT-"&amp;TEXT(COUNTIF($G$3:G373,G373),"000"),IF(G373="CIVIL","CIV-"&amp;TEXT(COUNTIF($G$3:G373,G373),"000"),IF(G373="GANIS","GAN-"&amp;TEXT(COUNTIF($G$3:G373,G373),"000"),IF(G373="ENGINEERING","ENG-"&amp;TEXT(COUNTIF($G$3:G373,G373),"000"),IF(G373="PRODUKSI","PRO-"&amp;TEXT(COUNTIF($G$3:G373,G373),"000"),IF(G373="SURVEY","SUR-"&amp;TEXT(COUNTIF($G$3:G373,G373),"000"),"")))))))))))</f>
        <v>HCGA-070</v>
      </c>
      <c r="I373" s="3"/>
      <c r="J373" s="3"/>
    </row>
    <row r="374" spans="2:10" ht="15.5">
      <c r="B374" s="4" t="s">
        <v>727</v>
      </c>
      <c r="C374" s="22" t="s">
        <v>693</v>
      </c>
      <c r="D374" s="48">
        <v>30000</v>
      </c>
      <c r="E374" s="40" t="s">
        <v>14</v>
      </c>
      <c r="F374" s="32"/>
      <c r="G374" s="23" t="s">
        <v>587</v>
      </c>
      <c r="H374" s="2" t="str">
        <f>IF(G374="","",IF(G374="EKSPLORASI","EXP-"&amp;TEXT(COUNTIF($G$3:G374,G374),"000"),IF(G374="HSE","HSE-"&amp;TEXT(COUNTIF($G$3:G374,G374),"000"),IF(G374="QAQC","QAQC-"&amp;TEXT(COUNTIF($G$3:G374,G374),"000"),IF(G374="HCGA","HCGA-"&amp;TEXT(COUNTIF($G$3:G374,G374),"000"),IF(G374="MAINTENANCE","MNT-"&amp;TEXT(COUNTIF($G$3:G374,G374),"000"),IF(G374="CIVIL","CIV-"&amp;TEXT(COUNTIF($G$3:G374,G374),"000"),IF(G374="GANIS","GAN-"&amp;TEXT(COUNTIF($G$3:G374,G374),"000"),IF(G374="ENGINEERING","ENG-"&amp;TEXT(COUNTIF($G$3:G374,G374),"000"),IF(G374="PRODUKSI","PRO-"&amp;TEXT(COUNTIF($G$3:G374,G374),"000"),IF(G374="SURVEY","SUR-"&amp;TEXT(COUNTIF($G$3:G374,G374),"000"),"")))))))))))</f>
        <v>HCGA-071</v>
      </c>
      <c r="I374" s="3"/>
      <c r="J374" s="3"/>
    </row>
    <row r="375" spans="2:10" ht="15.5">
      <c r="B375" s="4" t="s">
        <v>729</v>
      </c>
      <c r="C375" s="22" t="s">
        <v>695</v>
      </c>
      <c r="D375" s="46"/>
      <c r="E375" s="40" t="s">
        <v>11</v>
      </c>
      <c r="F375" s="32"/>
      <c r="G375" s="23" t="s">
        <v>587</v>
      </c>
      <c r="H375" s="2" t="str">
        <f>IF(G375="","",IF(G375="EKSPLORASI","EXP-"&amp;TEXT(COUNTIF($G$3:G375,G375),"000"),IF(G375="HSE","HSE-"&amp;TEXT(COUNTIF($G$3:G375,G375),"000"),IF(G375="QAQC","QAQC-"&amp;TEXT(COUNTIF($G$3:G375,G375),"000"),IF(G375="HCGA","HCGA-"&amp;TEXT(COUNTIF($G$3:G375,G375),"000"),IF(G375="MAINTENANCE","MNT-"&amp;TEXT(COUNTIF($G$3:G375,G375),"000"),IF(G375="CIVIL","CIV-"&amp;TEXT(COUNTIF($G$3:G375,G375),"000"),IF(G375="GANIS","GAN-"&amp;TEXT(COUNTIF($G$3:G375,G375),"000"),IF(G375="ENGINEERING","ENG-"&amp;TEXT(COUNTIF($G$3:G375,G375),"000"),IF(G375="PRODUKSI","PRO-"&amp;TEXT(COUNTIF($G$3:G375,G375),"000"),IF(G375="SURVEY","SUR-"&amp;TEXT(COUNTIF($G$3:G375,G375),"000"),"")))))))))))</f>
        <v>HCGA-072</v>
      </c>
      <c r="I375" s="3"/>
      <c r="J375" s="3"/>
    </row>
    <row r="376" spans="2:10" ht="15.5">
      <c r="B376" s="4" t="s">
        <v>731</v>
      </c>
      <c r="C376" s="22" t="s">
        <v>697</v>
      </c>
      <c r="D376" s="46"/>
      <c r="E376" s="40" t="s">
        <v>14</v>
      </c>
      <c r="F376" s="32"/>
      <c r="G376" s="23" t="s">
        <v>587</v>
      </c>
      <c r="H376" s="2" t="str">
        <f>IF(G376="","",IF(G376="EKSPLORASI","EXP-"&amp;TEXT(COUNTIF($G$3:G376,G376),"000"),IF(G376="HSE","HSE-"&amp;TEXT(COUNTIF($G$3:G376,G376),"000"),IF(G376="QAQC","QAQC-"&amp;TEXT(COUNTIF($G$3:G376,G376),"000"),IF(G376="HCGA","HCGA-"&amp;TEXT(COUNTIF($G$3:G376,G376),"000"),IF(G376="MAINTENANCE","MNT-"&amp;TEXT(COUNTIF($G$3:G376,G376),"000"),IF(G376="CIVIL","CIV-"&amp;TEXT(COUNTIF($G$3:G376,G376),"000"),IF(G376="GANIS","GAN-"&amp;TEXT(COUNTIF($G$3:G376,G376),"000"),IF(G376="ENGINEERING","ENG-"&amp;TEXT(COUNTIF($G$3:G376,G376),"000"),IF(G376="PRODUKSI","PRO-"&amp;TEXT(COUNTIF($G$3:G376,G376),"000"),IF(G376="SURVEY","SUR-"&amp;TEXT(COUNTIF($G$3:G376,G376),"000"),"")))))))))))</f>
        <v>HCGA-073</v>
      </c>
      <c r="I376" s="3"/>
      <c r="J376" s="3"/>
    </row>
    <row r="377" spans="2:10" ht="15.5">
      <c r="B377" s="4" t="s">
        <v>733</v>
      </c>
      <c r="C377" s="22" t="s">
        <v>1133</v>
      </c>
      <c r="D377" s="46">
        <v>2092500</v>
      </c>
      <c r="E377" s="40" t="s">
        <v>56</v>
      </c>
      <c r="F377" s="32"/>
      <c r="G377" s="23" t="s">
        <v>587</v>
      </c>
      <c r="H377" s="2" t="str">
        <f>IF(G377="","",IF(G377="EKSPLORASI","EXP-"&amp;TEXT(COUNTIF($G$3:G377,G377),"000"),IF(G377="HSE","HSE-"&amp;TEXT(COUNTIF($G$3:G377,G377),"000"),IF(G377="QAQC","QAQC-"&amp;TEXT(COUNTIF($G$3:G377,G377),"000"),IF(G377="HCGA","HCGA-"&amp;TEXT(COUNTIF($G$3:G377,G377),"000"),IF(G377="MAINTENANCE","MNT-"&amp;TEXT(COUNTIF($G$3:G377,G377),"000"),IF(G377="CIVIL","CIV-"&amp;TEXT(COUNTIF($G$3:G377,G377),"000"),IF(G377="GANIS","GAN-"&amp;TEXT(COUNTIF($G$3:G377,G377),"000"),IF(G377="ENGINEERING","ENG-"&amp;TEXT(COUNTIF($G$3:G377,G377),"000"),IF(G377="PRODUKSI","PRO-"&amp;TEXT(COUNTIF($G$3:G377,G377),"000"),IF(G377="SURVEY","SUR-"&amp;TEXT(COUNTIF($G$3:G377,G377),"000"),"")))))))))))</f>
        <v>HCGA-074</v>
      </c>
      <c r="I377" s="3"/>
      <c r="J377" s="3"/>
    </row>
    <row r="378" spans="2:10" ht="15.5">
      <c r="B378" s="4" t="s">
        <v>735</v>
      </c>
      <c r="C378" s="22" t="s">
        <v>700</v>
      </c>
      <c r="D378" s="46"/>
      <c r="E378" s="40" t="s">
        <v>14</v>
      </c>
      <c r="F378" s="32"/>
      <c r="G378" s="23" t="s">
        <v>587</v>
      </c>
      <c r="H378" s="2" t="str">
        <f>IF(G378="","",IF(G378="EKSPLORASI","EXP-"&amp;TEXT(COUNTIF($G$3:G378,G378),"000"),IF(G378="HSE","HSE-"&amp;TEXT(COUNTIF($G$3:G378,G378),"000"),IF(G378="QAQC","QAQC-"&amp;TEXT(COUNTIF($G$3:G378,G378),"000"),IF(G378="HCGA","HCGA-"&amp;TEXT(COUNTIF($G$3:G378,G378),"000"),IF(G378="MAINTENANCE","MNT-"&amp;TEXT(COUNTIF($G$3:G378,G378),"000"),IF(G378="CIVIL","CIV-"&amp;TEXT(COUNTIF($G$3:G378,G378),"000"),IF(G378="GANIS","GAN-"&amp;TEXT(COUNTIF($G$3:G378,G378),"000"),IF(G378="ENGINEERING","ENG-"&amp;TEXT(COUNTIF($G$3:G378,G378),"000"),IF(G378="PRODUKSI","PRO-"&amp;TEXT(COUNTIF($G$3:G378,G378),"000"),IF(G378="SURVEY","SUR-"&amp;TEXT(COUNTIF($G$3:G378,G378),"000"),"")))))))))))</f>
        <v>HCGA-075</v>
      </c>
      <c r="I378" s="3"/>
      <c r="J378" s="3"/>
    </row>
    <row r="379" spans="2:10" ht="15.5">
      <c r="B379" s="4" t="s">
        <v>737</v>
      </c>
      <c r="C379" s="22" t="s">
        <v>702</v>
      </c>
      <c r="D379" s="46"/>
      <c r="E379" s="40" t="s">
        <v>14</v>
      </c>
      <c r="F379" s="32"/>
      <c r="G379" s="23" t="s">
        <v>587</v>
      </c>
      <c r="H379" s="2" t="str">
        <f>IF(G379="","",IF(G379="EKSPLORASI","EXP-"&amp;TEXT(COUNTIF($G$3:G379,G379),"000"),IF(G379="HSE","HSE-"&amp;TEXT(COUNTIF($G$3:G379,G379),"000"),IF(G379="QAQC","QAQC-"&amp;TEXT(COUNTIF($G$3:G379,G379),"000"),IF(G379="HCGA","HCGA-"&amp;TEXT(COUNTIF($G$3:G379,G379),"000"),IF(G379="MAINTENANCE","MNT-"&amp;TEXT(COUNTIF($G$3:G379,G379),"000"),IF(G379="CIVIL","CIV-"&amp;TEXT(COUNTIF($G$3:G379,G379),"000"),IF(G379="GANIS","GAN-"&amp;TEXT(COUNTIF($G$3:G379,G379),"000"),IF(G379="ENGINEERING","ENG-"&amp;TEXT(COUNTIF($G$3:G379,G379),"000"),IF(G379="PRODUKSI","PRO-"&amp;TEXT(COUNTIF($G$3:G379,G379),"000"),IF(G379="SURVEY","SUR-"&amp;TEXT(COUNTIF($G$3:G379,G379),"000"),"")))))))))))</f>
        <v>HCGA-076</v>
      </c>
      <c r="I379" s="3"/>
      <c r="J379" s="3"/>
    </row>
    <row r="380" spans="2:10" ht="15.5">
      <c r="B380" s="4" t="s">
        <v>738</v>
      </c>
      <c r="C380" s="22" t="s">
        <v>704</v>
      </c>
      <c r="D380" s="46"/>
      <c r="E380" s="40" t="s">
        <v>14</v>
      </c>
      <c r="F380" s="32"/>
      <c r="G380" s="23" t="s">
        <v>587</v>
      </c>
      <c r="H380" s="2" t="str">
        <f>IF(G380="","",IF(G380="EKSPLORASI","EXP-"&amp;TEXT(COUNTIF($G$3:G380,G380),"000"),IF(G380="HSE","HSE-"&amp;TEXT(COUNTIF($G$3:G380,G380),"000"),IF(G380="QAQC","QAQC-"&amp;TEXT(COUNTIF($G$3:G380,G380),"000"),IF(G380="HCGA","HCGA-"&amp;TEXT(COUNTIF($G$3:G380,G380),"000"),IF(G380="MAINTENANCE","MNT-"&amp;TEXT(COUNTIF($G$3:G380,G380),"000"),IF(G380="CIVIL","CIV-"&amp;TEXT(COUNTIF($G$3:G380,G380),"000"),IF(G380="GANIS","GAN-"&amp;TEXT(COUNTIF($G$3:G380,G380),"000"),IF(G380="ENGINEERING","ENG-"&amp;TEXT(COUNTIF($G$3:G380,G380),"000"),IF(G380="PRODUKSI","PRO-"&amp;TEXT(COUNTIF($G$3:G380,G380),"000"),IF(G380="SURVEY","SUR-"&amp;TEXT(COUNTIF($G$3:G380,G380),"000"),"")))))))))))</f>
        <v>HCGA-077</v>
      </c>
      <c r="I380" s="3"/>
      <c r="J380" s="3"/>
    </row>
    <row r="381" spans="2:10" ht="15.5">
      <c r="B381" s="4" t="s">
        <v>741</v>
      </c>
      <c r="C381" s="22" t="s">
        <v>67</v>
      </c>
      <c r="D381" s="46"/>
      <c r="E381" s="40" t="s">
        <v>14</v>
      </c>
      <c r="F381" s="32"/>
      <c r="G381" s="23" t="s">
        <v>587</v>
      </c>
      <c r="H381" s="2" t="str">
        <f>IF(G381="","",IF(G381="EKSPLORASI","EXP-"&amp;TEXT(COUNTIF($G$3:G381,G381),"000"),IF(G381="HSE","HSE-"&amp;TEXT(COUNTIF($G$3:G381,G381),"000"),IF(G381="QAQC","QAQC-"&amp;TEXT(COUNTIF($G$3:G381,G381),"000"),IF(G381="HCGA","HCGA-"&amp;TEXT(COUNTIF($G$3:G381,G381),"000"),IF(G381="MAINTENANCE","MNT-"&amp;TEXT(COUNTIF($G$3:G381,G381),"000"),IF(G381="CIVIL","CIV-"&amp;TEXT(COUNTIF($G$3:G381,G381),"000"),IF(G381="GANIS","GAN-"&amp;TEXT(COUNTIF($G$3:G381,G381),"000"),IF(G381="ENGINEERING","ENG-"&amp;TEXT(COUNTIF($G$3:G381,G381),"000"),IF(G381="PRODUKSI","PRO-"&amp;TEXT(COUNTIF($G$3:G381,G381),"000"),IF(G381="SURVEY","SUR-"&amp;TEXT(COUNTIF($G$3:G381,G381),"000"),"")))))))))))</f>
        <v>HCGA-078</v>
      </c>
      <c r="I381" s="3"/>
      <c r="J381" s="3"/>
    </row>
    <row r="382" spans="2:10" ht="15.5">
      <c r="B382" s="4" t="s">
        <v>743</v>
      </c>
      <c r="C382" s="22" t="s">
        <v>69</v>
      </c>
      <c r="D382" s="46"/>
      <c r="E382" s="40" t="s">
        <v>14</v>
      </c>
      <c r="F382" s="32"/>
      <c r="G382" s="23" t="s">
        <v>587</v>
      </c>
      <c r="H382" s="2" t="str">
        <f>IF(G382="","",IF(G382="EKSPLORASI","EXP-"&amp;TEXT(COUNTIF($G$3:G382,G382),"000"),IF(G382="HSE","HSE-"&amp;TEXT(COUNTIF($G$3:G382,G382),"000"),IF(G382="QAQC","QAQC-"&amp;TEXT(COUNTIF($G$3:G382,G382),"000"),IF(G382="HCGA","HCGA-"&amp;TEXT(COUNTIF($G$3:G382,G382),"000"),IF(G382="MAINTENANCE","MNT-"&amp;TEXT(COUNTIF($G$3:G382,G382),"000"),IF(G382="CIVIL","CIV-"&amp;TEXT(COUNTIF($G$3:G382,G382),"000"),IF(G382="GANIS","GAN-"&amp;TEXT(COUNTIF($G$3:G382,G382),"000"),IF(G382="ENGINEERING","ENG-"&amp;TEXT(COUNTIF($G$3:G382,G382),"000"),IF(G382="PRODUKSI","PRO-"&amp;TEXT(COUNTIF($G$3:G382,G382),"000"),IF(G382="SURVEY","SUR-"&amp;TEXT(COUNTIF($G$3:G382,G382),"000"),"")))))))))))</f>
        <v>HCGA-079</v>
      </c>
      <c r="I382" s="3"/>
      <c r="J382" s="3"/>
    </row>
    <row r="383" spans="2:10" ht="15.5">
      <c r="B383" s="4" t="s">
        <v>745</v>
      </c>
      <c r="C383" s="22" t="s">
        <v>412</v>
      </c>
      <c r="D383" s="46"/>
      <c r="E383" s="40" t="s">
        <v>14</v>
      </c>
      <c r="F383" s="32"/>
      <c r="G383" s="23" t="s">
        <v>587</v>
      </c>
      <c r="H383" s="2" t="str">
        <f>IF(G383="","",IF(G383="EKSPLORASI","EXP-"&amp;TEXT(COUNTIF($G$3:G383,G383),"000"),IF(G383="HSE","HSE-"&amp;TEXT(COUNTIF($G$3:G383,G383),"000"),IF(G383="QAQC","QAQC-"&amp;TEXT(COUNTIF($G$3:G383,G383),"000"),IF(G383="HCGA","HCGA-"&amp;TEXT(COUNTIF($G$3:G383,G383),"000"),IF(G383="MAINTENANCE","MNT-"&amp;TEXT(COUNTIF($G$3:G383,G383),"000"),IF(G383="CIVIL","CIV-"&amp;TEXT(COUNTIF($G$3:G383,G383),"000"),IF(G383="GANIS","GAN-"&amp;TEXT(COUNTIF($G$3:G383,G383),"000"),IF(G383="ENGINEERING","ENG-"&amp;TEXT(COUNTIF($G$3:G383,G383),"000"),IF(G383="PRODUKSI","PRO-"&amp;TEXT(COUNTIF($G$3:G383,G383),"000"),IF(G383="SURVEY","SUR-"&amp;TEXT(COUNTIF($G$3:G383,G383),"000"),"")))))))))))</f>
        <v>HCGA-080</v>
      </c>
      <c r="I383" s="3"/>
      <c r="J383" s="3"/>
    </row>
    <row r="384" spans="2:10" ht="15.5">
      <c r="B384" s="4" t="s">
        <v>747</v>
      </c>
      <c r="C384" s="22" t="s">
        <v>709</v>
      </c>
      <c r="D384" s="46"/>
      <c r="E384" s="40" t="s">
        <v>14</v>
      </c>
      <c r="F384" s="32"/>
      <c r="G384" s="23" t="s">
        <v>587</v>
      </c>
      <c r="H384" s="2" t="str">
        <f>IF(G384="","",IF(G384="EKSPLORASI","EXP-"&amp;TEXT(COUNTIF($G$3:G384,G384),"000"),IF(G384="HSE","HSE-"&amp;TEXT(COUNTIF($G$3:G384,G384),"000"),IF(G384="QAQC","QAQC-"&amp;TEXT(COUNTIF($G$3:G384,G384),"000"),IF(G384="HCGA","HCGA-"&amp;TEXT(COUNTIF($G$3:G384,G384),"000"),IF(G384="MAINTENANCE","MNT-"&amp;TEXT(COUNTIF($G$3:G384,G384),"000"),IF(G384="CIVIL","CIV-"&amp;TEXT(COUNTIF($G$3:G384,G384),"000"),IF(G384="GANIS","GAN-"&amp;TEXT(COUNTIF($G$3:G384,G384),"000"),IF(G384="ENGINEERING","ENG-"&amp;TEXT(COUNTIF($G$3:G384,G384),"000"),IF(G384="PRODUKSI","PRO-"&amp;TEXT(COUNTIF($G$3:G384,G384),"000"),IF(G384="SURVEY","SUR-"&amp;TEXT(COUNTIF($G$3:G384,G384),"000"),"")))))))))))</f>
        <v>HCGA-081</v>
      </c>
      <c r="I384" s="3"/>
      <c r="J384" s="3"/>
    </row>
    <row r="385" spans="2:10" ht="15.5">
      <c r="B385" s="4" t="s">
        <v>749</v>
      </c>
      <c r="C385" s="22" t="s">
        <v>711</v>
      </c>
      <c r="D385" s="46">
        <v>250000</v>
      </c>
      <c r="E385" s="40" t="s">
        <v>14</v>
      </c>
      <c r="F385" s="32"/>
      <c r="G385" s="23" t="s">
        <v>587</v>
      </c>
      <c r="H385" s="2" t="str">
        <f>IF(G385="","",IF(G385="EKSPLORASI","EXP-"&amp;TEXT(COUNTIF($G$3:G385,G385),"000"),IF(G385="HSE","HSE-"&amp;TEXT(COUNTIF($G$3:G385,G385),"000"),IF(G385="QAQC","QAQC-"&amp;TEXT(COUNTIF($G$3:G385,G385),"000"),IF(G385="HCGA","HCGA-"&amp;TEXT(COUNTIF($G$3:G385,G385),"000"),IF(G385="MAINTENANCE","MNT-"&amp;TEXT(COUNTIF($G$3:G385,G385),"000"),IF(G385="CIVIL","CIV-"&amp;TEXT(COUNTIF($G$3:G385,G385),"000"),IF(G385="GANIS","GAN-"&amp;TEXT(COUNTIF($G$3:G385,G385),"000"),IF(G385="ENGINEERING","ENG-"&amp;TEXT(COUNTIF($G$3:G385,G385),"000"),IF(G385="PRODUKSI","PRO-"&amp;TEXT(COUNTIF($G$3:G385,G385),"000"),IF(G385="SURVEY","SUR-"&amp;TEXT(COUNTIF($G$3:G385,G385),"000"),"")))))))))))</f>
        <v>HCGA-082</v>
      </c>
      <c r="I385" s="3"/>
      <c r="J385" s="3"/>
    </row>
    <row r="386" spans="2:10" ht="15.5">
      <c r="B386" s="4" t="s">
        <v>751</v>
      </c>
      <c r="C386" s="22" t="s">
        <v>713</v>
      </c>
      <c r="D386" s="46"/>
      <c r="E386" s="40" t="s">
        <v>14</v>
      </c>
      <c r="F386" s="32"/>
      <c r="G386" s="23" t="s">
        <v>587</v>
      </c>
      <c r="H386" s="2" t="str">
        <f>IF(G386="","",IF(G386="EKSPLORASI","EXP-"&amp;TEXT(COUNTIF($G$3:G386,G386),"000"),IF(G386="HSE","HSE-"&amp;TEXT(COUNTIF($G$3:G386,G386),"000"),IF(G386="QAQC","QAQC-"&amp;TEXT(COUNTIF($G$3:G386,G386),"000"),IF(G386="HCGA","HCGA-"&amp;TEXT(COUNTIF($G$3:G386,G386),"000"),IF(G386="MAINTENANCE","MNT-"&amp;TEXT(COUNTIF($G$3:G386,G386),"000"),IF(G386="CIVIL","CIV-"&amp;TEXT(COUNTIF($G$3:G386,G386),"000"),IF(G386="GANIS","GAN-"&amp;TEXT(COUNTIF($G$3:G386,G386),"000"),IF(G386="ENGINEERING","ENG-"&amp;TEXT(COUNTIF($G$3:G386,G386),"000"),IF(G386="PRODUKSI","PRO-"&amp;TEXT(COUNTIF($G$3:G386,G386),"000"),IF(G386="SURVEY","SUR-"&amp;TEXT(COUNTIF($G$3:G386,G386),"000"),"")))))))))))</f>
        <v>HCGA-083</v>
      </c>
      <c r="I386" s="3"/>
      <c r="J386" s="3"/>
    </row>
    <row r="387" spans="2:10" ht="15.5">
      <c r="B387" s="4" t="s">
        <v>753</v>
      </c>
      <c r="C387" s="22" t="s">
        <v>715</v>
      </c>
      <c r="D387" s="46"/>
      <c r="E387" s="40" t="s">
        <v>14</v>
      </c>
      <c r="F387" s="32"/>
      <c r="G387" s="23" t="s">
        <v>587</v>
      </c>
      <c r="H387" s="2" t="str">
        <f>IF(G387="","",IF(G387="EKSPLORASI","EXP-"&amp;TEXT(COUNTIF($G$3:G387,G387),"000"),IF(G387="HSE","HSE-"&amp;TEXT(COUNTIF($G$3:G387,G387),"000"),IF(G387="QAQC","QAQC-"&amp;TEXT(COUNTIF($G$3:G387,G387),"000"),IF(G387="HCGA","HCGA-"&amp;TEXT(COUNTIF($G$3:G387,G387),"000"),IF(G387="MAINTENANCE","MNT-"&amp;TEXT(COUNTIF($G$3:G387,G387),"000"),IF(G387="CIVIL","CIV-"&amp;TEXT(COUNTIF($G$3:G387,G387),"000"),IF(G387="GANIS","GAN-"&amp;TEXT(COUNTIF($G$3:G387,G387),"000"),IF(G387="ENGINEERING","ENG-"&amp;TEXT(COUNTIF($G$3:G387,G387),"000"),IF(G387="PRODUKSI","PRO-"&amp;TEXT(COUNTIF($G$3:G387,G387),"000"),IF(G387="SURVEY","SUR-"&amp;TEXT(COUNTIF($G$3:G387,G387),"000"),"")))))))))))</f>
        <v>HCGA-084</v>
      </c>
      <c r="I387" s="3"/>
      <c r="J387" s="3"/>
    </row>
    <row r="388" spans="2:10" ht="15.5">
      <c r="B388" s="4" t="s">
        <v>755</v>
      </c>
      <c r="C388" s="22" t="s">
        <v>717</v>
      </c>
      <c r="D388" s="46"/>
      <c r="E388" s="40" t="s">
        <v>14</v>
      </c>
      <c r="F388" s="32"/>
      <c r="G388" s="23" t="s">
        <v>587</v>
      </c>
      <c r="H388" s="2" t="str">
        <f>IF(G388="","",IF(G388="EKSPLORASI","EXP-"&amp;TEXT(COUNTIF($G$3:G388,G388),"000"),IF(G388="HSE","HSE-"&amp;TEXT(COUNTIF($G$3:G388,G388),"000"),IF(G388="QAQC","QAQC-"&amp;TEXT(COUNTIF($G$3:G388,G388),"000"),IF(G388="HCGA","HCGA-"&amp;TEXT(COUNTIF($G$3:G388,G388),"000"),IF(G388="MAINTENANCE","MNT-"&amp;TEXT(COUNTIF($G$3:G388,G388),"000"),IF(G388="CIVIL","CIV-"&amp;TEXT(COUNTIF($G$3:G388,G388),"000"),IF(G388="GANIS","GAN-"&amp;TEXT(COUNTIF($G$3:G388,G388),"000"),IF(G388="ENGINEERING","ENG-"&amp;TEXT(COUNTIF($G$3:G388,G388),"000"),IF(G388="PRODUKSI","PRO-"&amp;TEXT(COUNTIF($G$3:G388,G388),"000"),IF(G388="SURVEY","SUR-"&amp;TEXT(COUNTIF($G$3:G388,G388),"000"),"")))))))))))</f>
        <v>HCGA-085</v>
      </c>
      <c r="I388" s="3"/>
      <c r="J388" s="3"/>
    </row>
    <row r="389" spans="2:10" ht="15.5">
      <c r="B389" s="4" t="s">
        <v>758</v>
      </c>
      <c r="C389" s="22" t="s">
        <v>719</v>
      </c>
      <c r="D389" s="46"/>
      <c r="E389" s="40" t="s">
        <v>25</v>
      </c>
      <c r="F389" s="32"/>
      <c r="G389" s="23" t="s">
        <v>587</v>
      </c>
      <c r="H389" s="2" t="str">
        <f>IF(G389="","",IF(G389="EKSPLORASI","EXP-"&amp;TEXT(COUNTIF($G$3:G389,G389),"000"),IF(G389="HSE","HSE-"&amp;TEXT(COUNTIF($G$3:G389,G389),"000"),IF(G389="QAQC","QAQC-"&amp;TEXT(COUNTIF($G$3:G389,G389),"000"),IF(G389="HCGA","HCGA-"&amp;TEXT(COUNTIF($G$3:G389,G389),"000"),IF(G389="MAINTENANCE","MNT-"&amp;TEXT(COUNTIF($G$3:G389,G389),"000"),IF(G389="CIVIL","CIV-"&amp;TEXT(COUNTIF($G$3:G389,G389),"000"),IF(G389="GANIS","GAN-"&amp;TEXT(COUNTIF($G$3:G389,G389),"000"),IF(G389="ENGINEERING","ENG-"&amp;TEXT(COUNTIF($G$3:G389,G389),"000"),IF(G389="PRODUKSI","PRO-"&amp;TEXT(COUNTIF($G$3:G389,G389),"000"),IF(G389="SURVEY","SUR-"&amp;TEXT(COUNTIF($G$3:G389,G389),"000"),"")))))))))))</f>
        <v>HCGA-086</v>
      </c>
      <c r="I389" s="3"/>
      <c r="J389" s="3"/>
    </row>
    <row r="390" spans="2:10" ht="15.5">
      <c r="B390" s="4" t="s">
        <v>760</v>
      </c>
      <c r="C390" s="24" t="s">
        <v>509</v>
      </c>
      <c r="D390" s="49"/>
      <c r="E390" s="33" t="s">
        <v>14</v>
      </c>
      <c r="F390" s="44"/>
      <c r="G390" s="25" t="s">
        <v>587</v>
      </c>
      <c r="H390" s="30" t="str">
        <f>IF(G390="","",IF(G390="EKSPLORASI","EXP-"&amp;TEXT(COUNTIF($G$3:G390,G390),"000"),IF(G390="HSE","HSE-"&amp;TEXT(COUNTIF($G$3:G390,G390),"000"),IF(G390="QAQC","QAQC-"&amp;TEXT(COUNTIF($G$3:G390,G390),"000"),IF(G390="HCGA","HCGA-"&amp;TEXT(COUNTIF($G$3:G390,G390),"000"),IF(G390="MAINTENANCE","MNT-"&amp;TEXT(COUNTIF($G$3:G390,G390),"000"),IF(G390="CIVIL","CIV-"&amp;TEXT(COUNTIF($G$3:G390,G390),"000"),IF(G390="GANIS","GAN-"&amp;TEXT(COUNTIF($G$3:G390,G390),"000"),IF(G390="ENGINEERING","ENG-"&amp;TEXT(COUNTIF($G$3:G390,G390),"000"),IF(G390="PRODUKSI","PRO-"&amp;TEXT(COUNTIF($G$3:G390,G390),"000"),IF(G390="SURVEY","SUR-"&amp;TEXT(COUNTIF($G$3:G390,G390),"000"),"")))))))))))</f>
        <v>HCGA-087</v>
      </c>
      <c r="I390" s="29"/>
      <c r="J390" s="29"/>
    </row>
    <row r="391" spans="2:10" ht="15.5">
      <c r="B391" s="4" t="s">
        <v>762</v>
      </c>
      <c r="C391" s="24" t="s">
        <v>1122</v>
      </c>
      <c r="D391" s="49">
        <v>110000</v>
      </c>
      <c r="E391" s="33" t="s">
        <v>863</v>
      </c>
      <c r="F391" s="44"/>
      <c r="G391" s="21" t="s">
        <v>723</v>
      </c>
      <c r="H391" s="2" t="str">
        <f>IF(G391="","",IF(G391="EKSPLORASI","EXP-"&amp;TEXT(COUNTIF($G$3:G391,G391),"000"),IF(G391="HSE","HSE-"&amp;TEXT(COUNTIF($G$3:G391,G391),"000"),IF(G391="QAQC","QAQC-"&amp;TEXT(COUNTIF($G$3:G391,G391),"000"),IF(G391="HCGA","HCGA-"&amp;TEXT(COUNTIF($G$3:G391,G391),"000"),IF(G391="MAINTENANCE","MNT-"&amp;TEXT(COUNTIF($G$3:G391,G391),"000"),IF(G391="CIVIL","CIV-"&amp;TEXT(COUNTIF($G$3:G391,G391),"000"),IF(G391="GANIS","GAN-"&amp;TEXT(COUNTIF($G$3:G391,G391),"000"),IF(G391="ENGINEERING","ENG-"&amp;TEXT(COUNTIF($G$3:G391,G391),"000"),IF(G391="PRODUKSI","PRO-"&amp;TEXT(COUNTIF($G$3:G391,G391),"000"),IF(G391="SURVEY","SUR-"&amp;TEXT(COUNTIF($G$3:G391,G391),"000"),"")))))))))))</f>
        <v>HSE-001</v>
      </c>
      <c r="I391" s="29"/>
      <c r="J391" s="29"/>
    </row>
    <row r="392" spans="2:10" ht="15.5">
      <c r="B392" s="4" t="s">
        <v>764</v>
      </c>
      <c r="C392" s="24" t="s">
        <v>1123</v>
      </c>
      <c r="D392" s="49">
        <v>90000</v>
      </c>
      <c r="E392" s="33" t="s">
        <v>1124</v>
      </c>
      <c r="F392" s="44"/>
      <c r="G392" s="21" t="s">
        <v>723</v>
      </c>
      <c r="H392" s="2" t="str">
        <f>IF(G392="","",IF(G392="EKSPLORASI","EXP-"&amp;TEXT(COUNTIF($G$3:G392,G392),"000"),IF(G392="HSE","HSE-"&amp;TEXT(COUNTIF($G$3:G392,G392),"000"),IF(G392="QAQC","QAQC-"&amp;TEXT(COUNTIF($G$3:G392,G392),"000"),IF(G392="HCGA","HCGA-"&amp;TEXT(COUNTIF($G$3:G392,G392),"000"),IF(G392="MAINTENANCE","MNT-"&amp;TEXT(COUNTIF($G$3:G392,G392),"000"),IF(G392="CIVIL","CIV-"&amp;TEXT(COUNTIF($G$3:G392,G392),"000"),IF(G392="GANIS","GAN-"&amp;TEXT(COUNTIF($G$3:G392,G392),"000"),IF(G392="ENGINEERING","ENG-"&amp;TEXT(COUNTIF($G$3:G392,G392),"000"),IF(G392="PRODUKSI","PRO-"&amp;TEXT(COUNTIF($G$3:G392,G392),"000"),IF(G392="SURVEY","SUR-"&amp;TEXT(COUNTIF($G$3:G392,G392),"000"),"")))))))))))</f>
        <v>HSE-002</v>
      </c>
      <c r="I392" s="29"/>
      <c r="J392" s="29"/>
    </row>
    <row r="393" spans="2:10" ht="15.5">
      <c r="B393" s="4" t="s">
        <v>766</v>
      </c>
      <c r="C393" s="24" t="s">
        <v>1125</v>
      </c>
      <c r="D393" s="49">
        <v>50000</v>
      </c>
      <c r="E393" s="33" t="s">
        <v>14</v>
      </c>
      <c r="F393" s="44"/>
      <c r="G393" s="21" t="s">
        <v>723</v>
      </c>
      <c r="H393" s="2" t="str">
        <f>IF(G393="","",IF(G393="EKSPLORASI","EXP-"&amp;TEXT(COUNTIF($G$3:G393,G393),"000"),IF(G393="HSE","HSE-"&amp;TEXT(COUNTIF($G$3:G393,G393),"000"),IF(G393="QAQC","QAQC-"&amp;TEXT(COUNTIF($G$3:G393,G393),"000"),IF(G393="HCGA","HCGA-"&amp;TEXT(COUNTIF($G$3:G393,G393),"000"),IF(G393="MAINTENANCE","MNT-"&amp;TEXT(COUNTIF($G$3:G393,G393),"000"),IF(G393="CIVIL","CIV-"&amp;TEXT(COUNTIF($G$3:G393,G393),"000"),IF(G393="GANIS","GAN-"&amp;TEXT(COUNTIF($G$3:G393,G393),"000"),IF(G393="ENGINEERING","ENG-"&amp;TEXT(COUNTIF($G$3:G393,G393),"000"),IF(G393="PRODUKSI","PRO-"&amp;TEXT(COUNTIF($G$3:G393,G393),"000"),IF(G393="SURVEY","SUR-"&amp;TEXT(COUNTIF($G$3:G393,G393),"000"),"")))))))))))</f>
        <v>HSE-003</v>
      </c>
      <c r="I393" s="29"/>
      <c r="J393" s="29"/>
    </row>
    <row r="394" spans="2:10" ht="15.5">
      <c r="B394" s="4" t="s">
        <v>768</v>
      </c>
      <c r="C394" s="24" t="s">
        <v>1126</v>
      </c>
      <c r="D394" s="49">
        <v>180000</v>
      </c>
      <c r="E394" s="33" t="s">
        <v>14</v>
      </c>
      <c r="F394" s="44"/>
      <c r="G394" s="21" t="s">
        <v>723</v>
      </c>
      <c r="H394" s="2" t="str">
        <f>IF(G394="","",IF(G394="EKSPLORASI","EXP-"&amp;TEXT(COUNTIF($G$3:G394,G394),"000"),IF(G394="HSE","HSE-"&amp;TEXT(COUNTIF($G$3:G394,G394),"000"),IF(G394="QAQC","QAQC-"&amp;TEXT(COUNTIF($G$3:G394,G394),"000"),IF(G394="HCGA","HCGA-"&amp;TEXT(COUNTIF($G$3:G394,G394),"000"),IF(G394="MAINTENANCE","MNT-"&amp;TEXT(COUNTIF($G$3:G394,G394),"000"),IF(G394="CIVIL","CIV-"&amp;TEXT(COUNTIF($G$3:G394,G394),"000"),IF(G394="GANIS","GAN-"&amp;TEXT(COUNTIF($G$3:G394,G394),"000"),IF(G394="ENGINEERING","ENG-"&amp;TEXT(COUNTIF($G$3:G394,G394),"000"),IF(G394="PRODUKSI","PRO-"&amp;TEXT(COUNTIF($G$3:G394,G394),"000"),IF(G394="SURVEY","SUR-"&amp;TEXT(COUNTIF($G$3:G394,G394),"000"),"")))))))))))</f>
        <v>HSE-004</v>
      </c>
      <c r="I394" s="29"/>
      <c r="J394" s="29"/>
    </row>
    <row r="395" spans="2:10" ht="15.5">
      <c r="B395" s="4" t="s">
        <v>769</v>
      </c>
      <c r="C395" s="16" t="s">
        <v>722</v>
      </c>
      <c r="D395" s="46"/>
      <c r="E395" s="33" t="s">
        <v>257</v>
      </c>
      <c r="F395" s="32"/>
      <c r="G395" s="21" t="s">
        <v>723</v>
      </c>
      <c r="H395" s="2" t="str">
        <f>IF(G395="","",IF(G395="EKSPLORASI","EXP-"&amp;TEXT(COUNTIF($G$3:G395,G395),"000"),IF(G395="HSE","HSE-"&amp;TEXT(COUNTIF($G$3:G395,G395),"000"),IF(G395="QAQC","QAQC-"&amp;TEXT(COUNTIF($G$3:G395,G395),"000"),IF(G395="HCGA","HCGA-"&amp;TEXT(COUNTIF($G$3:G395,G395),"000"),IF(G395="MAINTENANCE","MNT-"&amp;TEXT(COUNTIF($G$3:G395,G395),"000"),IF(G395="CIVIL","CIV-"&amp;TEXT(COUNTIF($G$3:G395,G395),"000"),IF(G395="GANIS","GAN-"&amp;TEXT(COUNTIF($G$3:G395,G395),"000"),IF(G395="ENGINEERING","ENG-"&amp;TEXT(COUNTIF($G$3:G395,G395),"000"),IF(G395="PRODUKSI","PRO-"&amp;TEXT(COUNTIF($G$3:G395,G395),"000"),IF(G395="SURVEY","SUR-"&amp;TEXT(COUNTIF($G$3:G395,G395),"000"),"")))))))))))</f>
        <v>HSE-005</v>
      </c>
      <c r="I395" s="3"/>
      <c r="J395" s="3"/>
    </row>
    <row r="396" spans="2:10" ht="15.5">
      <c r="B396" s="4" t="s">
        <v>770</v>
      </c>
      <c r="C396" s="16" t="s">
        <v>404</v>
      </c>
      <c r="D396" s="46"/>
      <c r="E396" s="40" t="s">
        <v>14</v>
      </c>
      <c r="F396" s="32"/>
      <c r="G396" s="21" t="s">
        <v>723</v>
      </c>
      <c r="H396" s="2" t="str">
        <f>IF(G396="","",IF(G396="EKSPLORASI","EXP-"&amp;TEXT(COUNTIF($G$3:G396,G396),"000"),IF(G396="HSE","HSE-"&amp;TEXT(COUNTIF($G$3:G396,G396),"000"),IF(G396="QAQC","QAQC-"&amp;TEXT(COUNTIF($G$3:G396,G396),"000"),IF(G396="HCGA","HCGA-"&amp;TEXT(COUNTIF($G$3:G396,G396),"000"),IF(G396="MAINTENANCE","MNT-"&amp;TEXT(COUNTIF($G$3:G396,G396),"000"),IF(G396="CIVIL","CIV-"&amp;TEXT(COUNTIF($G$3:G396,G396),"000"),IF(G396="GANIS","GAN-"&amp;TEXT(COUNTIF($G$3:G396,G396),"000"),IF(G396="ENGINEERING","ENG-"&amp;TEXT(COUNTIF($G$3:G396,G396),"000"),IF(G396="PRODUKSI","PRO-"&amp;TEXT(COUNTIF($G$3:G396,G396),"000"),IF(G396="SURVEY","SUR-"&amp;TEXT(COUNTIF($G$3:G396,G396),"000"),"")))))))))))</f>
        <v>HSE-006</v>
      </c>
      <c r="I396" s="3"/>
      <c r="J396" s="3"/>
    </row>
    <row r="397" spans="2:10" ht="15.5">
      <c r="B397" s="4" t="s">
        <v>772</v>
      </c>
      <c r="C397" s="16" t="s">
        <v>726</v>
      </c>
      <c r="D397" s="46"/>
      <c r="E397" s="40" t="s">
        <v>14</v>
      </c>
      <c r="F397" s="32"/>
      <c r="G397" s="21" t="s">
        <v>723</v>
      </c>
      <c r="H397" s="2" t="str">
        <f>IF(G397="","",IF(G397="EKSPLORASI","EXP-"&amp;TEXT(COUNTIF($G$3:G397,G397),"000"),IF(G397="HSE","HSE-"&amp;TEXT(COUNTIF($G$3:G397,G397),"000"),IF(G397="QAQC","QAQC-"&amp;TEXT(COUNTIF($G$3:G397,G397),"000"),IF(G397="HCGA","HCGA-"&amp;TEXT(COUNTIF($G$3:G397,G397),"000"),IF(G397="MAINTENANCE","MNT-"&amp;TEXT(COUNTIF($G$3:G397,G397),"000"),IF(G397="CIVIL","CIV-"&amp;TEXT(COUNTIF($G$3:G397,G397),"000"),IF(G397="GANIS","GAN-"&amp;TEXT(COUNTIF($G$3:G397,G397),"000"),IF(G397="ENGINEERING","ENG-"&amp;TEXT(COUNTIF($G$3:G397,G397),"000"),IF(G397="PRODUKSI","PRO-"&amp;TEXT(COUNTIF($G$3:G397,G397),"000"),IF(G397="SURVEY","SUR-"&amp;TEXT(COUNTIF($G$3:G397,G397),"000"),"")))))))))))</f>
        <v>HSE-007</v>
      </c>
      <c r="I397" s="3"/>
      <c r="J397" s="3"/>
    </row>
    <row r="398" spans="2:10" ht="15.5">
      <c r="B398" s="4" t="s">
        <v>774</v>
      </c>
      <c r="C398" s="16" t="s">
        <v>728</v>
      </c>
      <c r="D398" s="46">
        <v>16000</v>
      </c>
      <c r="E398" s="40" t="s">
        <v>43</v>
      </c>
      <c r="F398" s="32" t="s">
        <v>1101</v>
      </c>
      <c r="G398" s="21" t="s">
        <v>723</v>
      </c>
      <c r="H398" s="2" t="str">
        <f>IF(G398="","",IF(G398="EKSPLORASI","EXP-"&amp;TEXT(COUNTIF($G$3:G398,G398),"000"),IF(G398="HSE","HSE-"&amp;TEXT(COUNTIF($G$3:G398,G398),"000"),IF(G398="QAQC","QAQC-"&amp;TEXT(COUNTIF($G$3:G398,G398),"000"),IF(G398="HCGA","HCGA-"&amp;TEXT(COUNTIF($G$3:G398,G398),"000"),IF(G398="MAINTENANCE","MNT-"&amp;TEXT(COUNTIF($G$3:G398,G398),"000"),IF(G398="CIVIL","CIV-"&amp;TEXT(COUNTIF($G$3:G398,G398),"000"),IF(G398="GANIS","GAN-"&amp;TEXT(COUNTIF($G$3:G398,G398),"000"),IF(G398="ENGINEERING","ENG-"&amp;TEXT(COUNTIF($G$3:G398,G398),"000"),IF(G398="PRODUKSI","PRO-"&amp;TEXT(COUNTIF($G$3:G398,G398),"000"),IF(G398="SURVEY","SUR-"&amp;TEXT(COUNTIF($G$3:G398,G398),"000"),"")))))))))))</f>
        <v>HSE-008</v>
      </c>
      <c r="I398" s="3"/>
      <c r="J398" s="3"/>
    </row>
    <row r="399" spans="2:10" ht="15.5">
      <c r="B399" s="4" t="s">
        <v>776</v>
      </c>
      <c r="C399" s="16" t="s">
        <v>730</v>
      </c>
      <c r="D399" s="46"/>
      <c r="E399" s="40" t="s">
        <v>14</v>
      </c>
      <c r="F399" s="32"/>
      <c r="G399" s="21" t="s">
        <v>723</v>
      </c>
      <c r="H399" s="2" t="str">
        <f>IF(G399="","",IF(G399="EKSPLORASI","EXP-"&amp;TEXT(COUNTIF($G$3:G399,G399),"000"),IF(G399="HSE","HSE-"&amp;TEXT(COUNTIF($G$3:G399,G399),"000"),IF(G399="QAQC","QAQC-"&amp;TEXT(COUNTIF($G$3:G399,G399),"000"),IF(G399="HCGA","HCGA-"&amp;TEXT(COUNTIF($G$3:G399,G399),"000"),IF(G399="MAINTENANCE","MNT-"&amp;TEXT(COUNTIF($G$3:G399,G399),"000"),IF(G399="CIVIL","CIV-"&amp;TEXT(COUNTIF($G$3:G399,G399),"000"),IF(G399="GANIS","GAN-"&amp;TEXT(COUNTIF($G$3:G399,G399),"000"),IF(G399="ENGINEERING","ENG-"&amp;TEXT(COUNTIF($G$3:G399,G399),"000"),IF(G399="PRODUKSI","PRO-"&amp;TEXT(COUNTIF($G$3:G399,G399),"000"),IF(G399="SURVEY","SUR-"&amp;TEXT(COUNTIF($G$3:G399,G399),"000"),"")))))))))))</f>
        <v>HSE-009</v>
      </c>
      <c r="I399" s="3"/>
      <c r="J399" s="3"/>
    </row>
    <row r="400" spans="2:10" ht="15.5">
      <c r="B400" s="4" t="s">
        <v>778</v>
      </c>
      <c r="C400" s="16" t="s">
        <v>732</v>
      </c>
      <c r="D400" s="46"/>
      <c r="E400" s="40" t="s">
        <v>14</v>
      </c>
      <c r="F400" s="32"/>
      <c r="G400" s="21" t="s">
        <v>723</v>
      </c>
      <c r="H400" s="2" t="str">
        <f>IF(G400="","",IF(G400="EKSPLORASI","EXP-"&amp;TEXT(COUNTIF($G$3:G400,G400),"000"),IF(G400="HSE","HSE-"&amp;TEXT(COUNTIF($G$3:G400,G400),"000"),IF(G400="QAQC","QAQC-"&amp;TEXT(COUNTIF($G$3:G400,G400),"000"),IF(G400="HCGA","HCGA-"&amp;TEXT(COUNTIF($G$3:G400,G400),"000"),IF(G400="MAINTENANCE","MNT-"&amp;TEXT(COUNTIF($G$3:G400,G400),"000"),IF(G400="CIVIL","CIV-"&amp;TEXT(COUNTIF($G$3:G400,G400),"000"),IF(G400="GANIS","GAN-"&amp;TEXT(COUNTIF($G$3:G400,G400),"000"),IF(G400="ENGINEERING","ENG-"&amp;TEXT(COUNTIF($G$3:G400,G400),"000"),IF(G400="PRODUKSI","PRO-"&amp;TEXT(COUNTIF($G$3:G400,G400),"000"),IF(G400="SURVEY","SUR-"&amp;TEXT(COUNTIF($G$3:G400,G400),"000"),"")))))))))))</f>
        <v>HSE-010</v>
      </c>
      <c r="I400" s="3"/>
      <c r="J400" s="3"/>
    </row>
    <row r="401" spans="2:10" ht="15.5">
      <c r="B401" s="4" t="s">
        <v>780</v>
      </c>
      <c r="C401" s="16" t="s">
        <v>734</v>
      </c>
      <c r="D401" s="46"/>
      <c r="E401" s="40" t="s">
        <v>43</v>
      </c>
      <c r="F401" s="32"/>
      <c r="G401" s="21" t="s">
        <v>723</v>
      </c>
      <c r="H401" s="2" t="str">
        <f>IF(G401="","",IF(G401="EKSPLORASI","EXP-"&amp;TEXT(COUNTIF($G$3:G401,G401),"000"),IF(G401="HSE","HSE-"&amp;TEXT(COUNTIF($G$3:G401,G401),"000"),IF(G401="QAQC","QAQC-"&amp;TEXT(COUNTIF($G$3:G401,G401),"000"),IF(G401="HCGA","HCGA-"&amp;TEXT(COUNTIF($G$3:G401,G401),"000"),IF(G401="MAINTENANCE","MNT-"&amp;TEXT(COUNTIF($G$3:G401,G401),"000"),IF(G401="CIVIL","CIV-"&amp;TEXT(COUNTIF($G$3:G401,G401),"000"),IF(G401="GANIS","GAN-"&amp;TEXT(COUNTIF($G$3:G401,G401),"000"),IF(G401="ENGINEERING","ENG-"&amp;TEXT(COUNTIF($G$3:G401,G401),"000"),IF(G401="PRODUKSI","PRO-"&amp;TEXT(COUNTIF($G$3:G401,G401),"000"),IF(G401="SURVEY","SUR-"&amp;TEXT(COUNTIF($G$3:G401,G401),"000"),"")))))))))))</f>
        <v>HSE-011</v>
      </c>
      <c r="I401" s="3"/>
      <c r="J401" s="3"/>
    </row>
    <row r="402" spans="2:10" ht="15.5">
      <c r="B402" s="4" t="s">
        <v>782</v>
      </c>
      <c r="C402" s="16" t="s">
        <v>736</v>
      </c>
      <c r="D402" s="46"/>
      <c r="E402" s="40" t="s">
        <v>139</v>
      </c>
      <c r="F402" s="32"/>
      <c r="G402" s="21" t="s">
        <v>723</v>
      </c>
      <c r="H402" s="2" t="str">
        <f>IF(G402="","",IF(G402="EKSPLORASI","EXP-"&amp;TEXT(COUNTIF($G$3:G402,G402),"000"),IF(G402="HSE","HSE-"&amp;TEXT(COUNTIF($G$3:G402,G402),"000"),IF(G402="QAQC","QAQC-"&amp;TEXT(COUNTIF($G$3:G402,G402),"000"),IF(G402="HCGA","HCGA-"&amp;TEXT(COUNTIF($G$3:G402,G402),"000"),IF(G402="MAINTENANCE","MNT-"&amp;TEXT(COUNTIF($G$3:G402,G402),"000"),IF(G402="CIVIL","CIV-"&amp;TEXT(COUNTIF($G$3:G402,G402),"000"),IF(G402="GANIS","GAN-"&amp;TEXT(COUNTIF($G$3:G402,G402),"000"),IF(G402="ENGINEERING","ENG-"&amp;TEXT(COUNTIF($G$3:G402,G402),"000"),IF(G402="PRODUKSI","PRO-"&amp;TEXT(COUNTIF($G$3:G402,G402),"000"),IF(G402="SURVEY","SUR-"&amp;TEXT(COUNTIF($G$3:G402,G402),"000"),"")))))))))))</f>
        <v>HSE-012</v>
      </c>
      <c r="I402" s="3"/>
      <c r="J402" s="3"/>
    </row>
    <row r="403" spans="2:10" ht="15.5">
      <c r="B403" s="4" t="s">
        <v>784</v>
      </c>
      <c r="C403" s="16" t="s">
        <v>73</v>
      </c>
      <c r="D403" s="46">
        <v>20000</v>
      </c>
      <c r="E403" s="40" t="s">
        <v>74</v>
      </c>
      <c r="F403" s="34" t="s">
        <v>1089</v>
      </c>
      <c r="G403" s="21" t="s">
        <v>723</v>
      </c>
      <c r="H403" s="2" t="str">
        <f>IF(G403="","",IF(G403="EKSPLORASI","EXP-"&amp;TEXT(COUNTIF($G$3:G403,G403),"000"),IF(G403="HSE","HSE-"&amp;TEXT(COUNTIF($G$3:G403,G403),"000"),IF(G403="QAQC","QAQC-"&amp;TEXT(COUNTIF($G$3:G403,G403),"000"),IF(G403="HCGA","HCGA-"&amp;TEXT(COUNTIF($G$3:G403,G403),"000"),IF(G403="MAINTENANCE","MNT-"&amp;TEXT(COUNTIF($G$3:G403,G403),"000"),IF(G403="CIVIL","CIV-"&amp;TEXT(COUNTIF($G$3:G403,G403),"000"),IF(G403="GANIS","GAN-"&amp;TEXT(COUNTIF($G$3:G403,G403),"000"),IF(G403="ENGINEERING","ENG-"&amp;TEXT(COUNTIF($G$3:G403,G403),"000"),IF(G403="PRODUKSI","PRO-"&amp;TEXT(COUNTIF($G$3:G403,G403),"000"),IF(G403="SURVEY","SUR-"&amp;TEXT(COUNTIF($G$3:G403,G403),"000"),"")))))))))))</f>
        <v>HSE-013</v>
      </c>
      <c r="I403" s="3"/>
      <c r="J403" s="3"/>
    </row>
    <row r="404" spans="2:10" ht="15.5">
      <c r="B404" s="4" t="s">
        <v>786</v>
      </c>
      <c r="C404" s="16" t="s">
        <v>739</v>
      </c>
      <c r="D404" s="46"/>
      <c r="E404" s="40" t="s">
        <v>740</v>
      </c>
      <c r="F404" s="32"/>
      <c r="G404" s="21" t="s">
        <v>723</v>
      </c>
      <c r="H404" s="2" t="str">
        <f>IF(G404="","",IF(G404="EKSPLORASI","EXP-"&amp;TEXT(COUNTIF($G$3:G404,G404),"000"),IF(G404="HSE","HSE-"&amp;TEXT(COUNTIF($G$3:G404,G404),"000"),IF(G404="QAQC","QAQC-"&amp;TEXT(COUNTIF($G$3:G404,G404),"000"),IF(G404="HCGA","HCGA-"&amp;TEXT(COUNTIF($G$3:G404,G404),"000"),IF(G404="MAINTENANCE","MNT-"&amp;TEXT(COUNTIF($G$3:G404,G404),"000"),IF(G404="CIVIL","CIV-"&amp;TEXT(COUNTIF($G$3:G404,G404),"000"),IF(G404="GANIS","GAN-"&amp;TEXT(COUNTIF($G$3:G404,G404),"000"),IF(G404="ENGINEERING","ENG-"&amp;TEXT(COUNTIF($G$3:G404,G404),"000"),IF(G404="PRODUKSI","PRO-"&amp;TEXT(COUNTIF($G$3:G404,G404),"000"),IF(G404="SURVEY","SUR-"&amp;TEXT(COUNTIF($G$3:G404,G404),"000"),"")))))))))))</f>
        <v>HSE-014</v>
      </c>
      <c r="I404" s="3"/>
      <c r="J404" s="3"/>
    </row>
    <row r="405" spans="2:10" ht="15.5">
      <c r="B405" s="4" t="s">
        <v>788</v>
      </c>
      <c r="C405" s="16" t="s">
        <v>742</v>
      </c>
      <c r="D405" s="46"/>
      <c r="E405" s="40" t="s">
        <v>25</v>
      </c>
      <c r="F405" s="32"/>
      <c r="G405" s="21" t="s">
        <v>723</v>
      </c>
      <c r="H405" s="2" t="str">
        <f>IF(G405="","",IF(G405="EKSPLORASI","EXP-"&amp;TEXT(COUNTIF($G$3:G405,G405),"000"),IF(G405="HSE","HSE-"&amp;TEXT(COUNTIF($G$3:G405,G405),"000"),IF(G405="QAQC","QAQC-"&amp;TEXT(COUNTIF($G$3:G405,G405),"000"),IF(G405="HCGA","HCGA-"&amp;TEXT(COUNTIF($G$3:G405,G405),"000"),IF(G405="MAINTENANCE","MNT-"&amp;TEXT(COUNTIF($G$3:G405,G405),"000"),IF(G405="CIVIL","CIV-"&amp;TEXT(COUNTIF($G$3:G405,G405),"000"),IF(G405="GANIS","GAN-"&amp;TEXT(COUNTIF($G$3:G405,G405),"000"),IF(G405="ENGINEERING","ENG-"&amp;TEXT(COUNTIF($G$3:G405,G405),"000"),IF(G405="PRODUKSI","PRO-"&amp;TEXT(COUNTIF($G$3:G405,G405),"000"),IF(G405="SURVEY","SUR-"&amp;TEXT(COUNTIF($G$3:G405,G405),"000"),"")))))))))))</f>
        <v>HSE-015</v>
      </c>
      <c r="I405" s="3"/>
      <c r="J405" s="3"/>
    </row>
    <row r="406" spans="2:10" ht="15.5">
      <c r="B406" s="4" t="s">
        <v>790</v>
      </c>
      <c r="C406" s="16" t="s">
        <v>744</v>
      </c>
      <c r="D406" s="46"/>
      <c r="E406" s="40" t="s">
        <v>14</v>
      </c>
      <c r="F406" s="32"/>
      <c r="G406" s="21" t="s">
        <v>723</v>
      </c>
      <c r="H406" s="2" t="str">
        <f>IF(G406="","",IF(G406="EKSPLORASI","EXP-"&amp;TEXT(COUNTIF($G$3:G406,G406),"000"),IF(G406="HSE","HSE-"&amp;TEXT(COUNTIF($G$3:G406,G406),"000"),IF(G406="QAQC","QAQC-"&amp;TEXT(COUNTIF($G$3:G406,G406),"000"),IF(G406="HCGA","HCGA-"&amp;TEXT(COUNTIF($G$3:G406,G406),"000"),IF(G406="MAINTENANCE","MNT-"&amp;TEXT(COUNTIF($G$3:G406,G406),"000"),IF(G406="CIVIL","CIV-"&amp;TEXT(COUNTIF($G$3:G406,G406),"000"),IF(G406="GANIS","GAN-"&amp;TEXT(COUNTIF($G$3:G406,G406),"000"),IF(G406="ENGINEERING","ENG-"&amp;TEXT(COUNTIF($G$3:G406,G406),"000"),IF(G406="PRODUKSI","PRO-"&amp;TEXT(COUNTIF($G$3:G406,G406),"000"),IF(G406="SURVEY","SUR-"&amp;TEXT(COUNTIF($G$3:G406,G406),"000"),"")))))))))))</f>
        <v>HSE-016</v>
      </c>
      <c r="I406" s="3"/>
      <c r="J406" s="3"/>
    </row>
    <row r="407" spans="2:10" ht="15.5">
      <c r="B407" s="4" t="s">
        <v>792</v>
      </c>
      <c r="C407" s="16" t="s">
        <v>746</v>
      </c>
      <c r="D407" s="46"/>
      <c r="E407" s="40" t="s">
        <v>14</v>
      </c>
      <c r="F407" s="32"/>
      <c r="G407" s="21" t="s">
        <v>723</v>
      </c>
      <c r="H407" s="2" t="str">
        <f>IF(G407="","",IF(G407="EKSPLORASI","EXP-"&amp;TEXT(COUNTIF($G$3:G407,G407),"000"),IF(G407="HSE","HSE-"&amp;TEXT(COUNTIF($G$3:G407,G407),"000"),IF(G407="QAQC","QAQC-"&amp;TEXT(COUNTIF($G$3:G407,G407),"000"),IF(G407="HCGA","HCGA-"&amp;TEXT(COUNTIF($G$3:G407,G407),"000"),IF(G407="MAINTENANCE","MNT-"&amp;TEXT(COUNTIF($G$3:G407,G407),"000"),IF(G407="CIVIL","CIV-"&amp;TEXT(COUNTIF($G$3:G407,G407),"000"),IF(G407="GANIS","GAN-"&amp;TEXT(COUNTIF($G$3:G407,G407),"000"),IF(G407="ENGINEERING","ENG-"&amp;TEXT(COUNTIF($G$3:G407,G407),"000"),IF(G407="PRODUKSI","PRO-"&amp;TEXT(COUNTIF($G$3:G407,G407),"000"),IF(G407="SURVEY","SUR-"&amp;TEXT(COUNTIF($G$3:G407,G407),"000"),"")))))))))))</f>
        <v>HSE-017</v>
      </c>
      <c r="I407" s="3"/>
      <c r="J407" s="3"/>
    </row>
    <row r="408" spans="2:10" ht="15.5">
      <c r="B408" s="4" t="s">
        <v>794</v>
      </c>
      <c r="C408" s="16" t="s">
        <v>748</v>
      </c>
      <c r="D408" s="46"/>
      <c r="E408" s="40" t="s">
        <v>14</v>
      </c>
      <c r="F408" s="32"/>
      <c r="G408" s="21" t="s">
        <v>723</v>
      </c>
      <c r="H408" s="2" t="str">
        <f>IF(G408="","",IF(G408="EKSPLORASI","EXP-"&amp;TEXT(COUNTIF($G$3:G408,G408),"000"),IF(G408="HSE","HSE-"&amp;TEXT(COUNTIF($G$3:G408,G408),"000"),IF(G408="QAQC","QAQC-"&amp;TEXT(COUNTIF($G$3:G408,G408),"000"),IF(G408="HCGA","HCGA-"&amp;TEXT(COUNTIF($G$3:G408,G408),"000"),IF(G408="MAINTENANCE","MNT-"&amp;TEXT(COUNTIF($G$3:G408,G408),"000"),IF(G408="CIVIL","CIV-"&amp;TEXT(COUNTIF($G$3:G408,G408),"000"),IF(G408="GANIS","GAN-"&amp;TEXT(COUNTIF($G$3:G408,G408),"000"),IF(G408="ENGINEERING","ENG-"&amp;TEXT(COUNTIF($G$3:G408,G408),"000"),IF(G408="PRODUKSI","PRO-"&amp;TEXT(COUNTIF($G$3:G408,G408),"000"),IF(G408="SURVEY","SUR-"&amp;TEXT(COUNTIF($G$3:G408,G408),"000"),"")))))))))))</f>
        <v>HSE-018</v>
      </c>
      <c r="I408" s="3"/>
      <c r="J408" s="3"/>
    </row>
    <row r="409" spans="2:10" ht="15.5">
      <c r="B409" s="4" t="s">
        <v>795</v>
      </c>
      <c r="C409" s="16" t="s">
        <v>750</v>
      </c>
      <c r="D409" s="46"/>
      <c r="E409" s="40" t="s">
        <v>14</v>
      </c>
      <c r="F409" s="32"/>
      <c r="G409" s="21" t="s">
        <v>723</v>
      </c>
      <c r="H409" s="2" t="str">
        <f>IF(G409="","",IF(G409="EKSPLORASI","EXP-"&amp;TEXT(COUNTIF($G$3:G409,G409),"000"),IF(G409="HSE","HSE-"&amp;TEXT(COUNTIF($G$3:G409,G409),"000"),IF(G409="QAQC","QAQC-"&amp;TEXT(COUNTIF($G$3:G409,G409),"000"),IF(G409="HCGA","HCGA-"&amp;TEXT(COUNTIF($G$3:G409,G409),"000"),IF(G409="MAINTENANCE","MNT-"&amp;TEXT(COUNTIF($G$3:G409,G409),"000"),IF(G409="CIVIL","CIV-"&amp;TEXT(COUNTIF($G$3:G409,G409),"000"),IF(G409="GANIS","GAN-"&amp;TEXT(COUNTIF($G$3:G409,G409),"000"),IF(G409="ENGINEERING","ENG-"&amp;TEXT(COUNTIF($G$3:G409,G409),"000"),IF(G409="PRODUKSI","PRO-"&amp;TEXT(COUNTIF($G$3:G409,G409),"000"),IF(G409="SURVEY","SUR-"&amp;TEXT(COUNTIF($G$3:G409,G409),"000"),"")))))))))))</f>
        <v>HSE-019</v>
      </c>
      <c r="I409" s="3"/>
      <c r="J409" s="3"/>
    </row>
    <row r="410" spans="2:10" ht="15.5">
      <c r="B410" s="4" t="s">
        <v>797</v>
      </c>
      <c r="C410" s="16" t="s">
        <v>752</v>
      </c>
      <c r="D410" s="46"/>
      <c r="E410" s="40" t="s">
        <v>14</v>
      </c>
      <c r="F410" s="32"/>
      <c r="G410" s="21" t="s">
        <v>723</v>
      </c>
      <c r="H410" s="2" t="str">
        <f>IF(G410="","",IF(G410="EKSPLORASI","EXP-"&amp;TEXT(COUNTIF($G$3:G410,G410),"000"),IF(G410="HSE","HSE-"&amp;TEXT(COUNTIF($G$3:G410,G410),"000"),IF(G410="QAQC","QAQC-"&amp;TEXT(COUNTIF($G$3:G410,G410),"000"),IF(G410="HCGA","HCGA-"&amp;TEXT(COUNTIF($G$3:G410,G410),"000"),IF(G410="MAINTENANCE","MNT-"&amp;TEXT(COUNTIF($G$3:G410,G410),"000"),IF(G410="CIVIL","CIV-"&amp;TEXT(COUNTIF($G$3:G410,G410),"000"),IF(G410="GANIS","GAN-"&amp;TEXT(COUNTIF($G$3:G410,G410),"000"),IF(G410="ENGINEERING","ENG-"&amp;TEXT(COUNTIF($G$3:G410,G410),"000"),IF(G410="PRODUKSI","PRO-"&amp;TEXT(COUNTIF($G$3:G410,G410),"000"),IF(G410="SURVEY","SUR-"&amp;TEXT(COUNTIF($G$3:G410,G410),"000"),"")))))))))))</f>
        <v>HSE-020</v>
      </c>
      <c r="I410" s="3"/>
      <c r="J410" s="3"/>
    </row>
    <row r="411" spans="2:10" ht="15.5">
      <c r="B411" s="4" t="s">
        <v>798</v>
      </c>
      <c r="C411" s="16" t="s">
        <v>754</v>
      </c>
      <c r="D411" s="46">
        <v>50000</v>
      </c>
      <c r="E411" s="40" t="s">
        <v>14</v>
      </c>
      <c r="F411" s="32"/>
      <c r="G411" s="21" t="s">
        <v>723</v>
      </c>
      <c r="H411" s="2" t="str">
        <f>IF(G411="","",IF(G411="EKSPLORASI","EXP-"&amp;TEXT(COUNTIF($G$3:G411,G411),"000"),IF(G411="HSE","HSE-"&amp;TEXT(COUNTIF($G$3:G411,G411),"000"),IF(G411="QAQC","QAQC-"&amp;TEXT(COUNTIF($G$3:G411,G411),"000"),IF(G411="HCGA","HCGA-"&amp;TEXT(COUNTIF($G$3:G411,G411),"000"),IF(G411="MAINTENANCE","MNT-"&amp;TEXT(COUNTIF($G$3:G411,G411),"000"),IF(G411="CIVIL","CIV-"&amp;TEXT(COUNTIF($G$3:G411,G411),"000"),IF(G411="GANIS","GAN-"&amp;TEXT(COUNTIF($G$3:G411,G411),"000"),IF(G411="ENGINEERING","ENG-"&amp;TEXT(COUNTIF($G$3:G411,G411),"000"),IF(G411="PRODUKSI","PRO-"&amp;TEXT(COUNTIF($G$3:G411,G411),"000"),IF(G411="SURVEY","SUR-"&amp;TEXT(COUNTIF($G$3:G411,G411),"000"),"")))))))))))</f>
        <v>HSE-021</v>
      </c>
      <c r="I411" s="3"/>
      <c r="J411" s="3"/>
    </row>
    <row r="412" spans="2:10" ht="15.5">
      <c r="B412" s="4" t="s">
        <v>800</v>
      </c>
      <c r="C412" s="16" t="s">
        <v>756</v>
      </c>
      <c r="D412" s="46"/>
      <c r="E412" s="40" t="s">
        <v>757</v>
      </c>
      <c r="F412" s="32"/>
      <c r="G412" s="21" t="s">
        <v>723</v>
      </c>
      <c r="H412" s="2" t="str">
        <f>IF(G412="","",IF(G412="EKSPLORASI","EXP-"&amp;TEXT(COUNTIF($G$3:G412,G412),"000"),IF(G412="HSE","HSE-"&amp;TEXT(COUNTIF($G$3:G412,G412),"000"),IF(G412="QAQC","QAQC-"&amp;TEXT(COUNTIF($G$3:G412,G412),"000"),IF(G412="HCGA","HCGA-"&amp;TEXT(COUNTIF($G$3:G412,G412),"000"),IF(G412="MAINTENANCE","MNT-"&amp;TEXT(COUNTIF($G$3:G412,G412),"000"),IF(G412="CIVIL","CIV-"&amp;TEXT(COUNTIF($G$3:G412,G412),"000"),IF(G412="GANIS","GAN-"&amp;TEXT(COUNTIF($G$3:G412,G412),"000"),IF(G412="ENGINEERING","ENG-"&amp;TEXT(COUNTIF($G$3:G412,G412),"000"),IF(G412="PRODUKSI","PRO-"&amp;TEXT(COUNTIF($G$3:G412,G412),"000"),IF(G412="SURVEY","SUR-"&amp;TEXT(COUNTIF($G$3:G412,G412),"000"),"")))))))))))</f>
        <v>HSE-022</v>
      </c>
      <c r="I412" s="3"/>
      <c r="J412" s="3"/>
    </row>
    <row r="413" spans="2:10" ht="15.5">
      <c r="B413" s="4" t="s">
        <v>802</v>
      </c>
      <c r="C413" s="16" t="s">
        <v>759</v>
      </c>
      <c r="D413" s="46"/>
      <c r="E413" s="40" t="s">
        <v>235</v>
      </c>
      <c r="F413" s="32"/>
      <c r="G413" s="21" t="s">
        <v>723</v>
      </c>
      <c r="H413" s="2" t="str">
        <f>IF(G413="","",IF(G413="EKSPLORASI","EXP-"&amp;TEXT(COUNTIF($G$3:G413,G413),"000"),IF(G413="HSE","HSE-"&amp;TEXT(COUNTIF($G$3:G413,G413),"000"),IF(G413="QAQC","QAQC-"&amp;TEXT(COUNTIF($G$3:G413,G413),"000"),IF(G413="HCGA","HCGA-"&amp;TEXT(COUNTIF($G$3:G413,G413),"000"),IF(G413="MAINTENANCE","MNT-"&amp;TEXT(COUNTIF($G$3:G413,G413),"000"),IF(G413="CIVIL","CIV-"&amp;TEXT(COUNTIF($G$3:G413,G413),"000"),IF(G413="GANIS","GAN-"&amp;TEXT(COUNTIF($G$3:G413,G413),"000"),IF(G413="ENGINEERING","ENG-"&amp;TEXT(COUNTIF($G$3:G413,G413),"000"),IF(G413="PRODUKSI","PRO-"&amp;TEXT(COUNTIF($G$3:G413,G413),"000"),IF(G413="SURVEY","SUR-"&amp;TEXT(COUNTIF($G$3:G413,G413),"000"),"")))))))))))</f>
        <v>HSE-023</v>
      </c>
      <c r="I413" s="3"/>
      <c r="J413" s="3"/>
    </row>
    <row r="414" spans="2:10" ht="15.5">
      <c r="B414" s="4" t="s">
        <v>803</v>
      </c>
      <c r="C414" s="16" t="s">
        <v>761</v>
      </c>
      <c r="D414" s="46">
        <v>100000</v>
      </c>
      <c r="E414" s="40" t="s">
        <v>14</v>
      </c>
      <c r="F414" s="32"/>
      <c r="G414" s="21" t="s">
        <v>723</v>
      </c>
      <c r="H414" s="2" t="str">
        <f>IF(G414="","",IF(G414="EKSPLORASI","EXP-"&amp;TEXT(COUNTIF($G$3:G414,G414),"000"),IF(G414="HSE","HSE-"&amp;TEXT(COUNTIF($G$3:G414,G414),"000"),IF(G414="QAQC","QAQC-"&amp;TEXT(COUNTIF($G$3:G414,G414),"000"),IF(G414="HCGA","HCGA-"&amp;TEXT(COUNTIF($G$3:G414,G414),"000"),IF(G414="MAINTENANCE","MNT-"&amp;TEXT(COUNTIF($G$3:G414,G414),"000"),IF(G414="CIVIL","CIV-"&amp;TEXT(COUNTIF($G$3:G414,G414),"000"),IF(G414="GANIS","GAN-"&amp;TEXT(COUNTIF($G$3:G414,G414),"000"),IF(G414="ENGINEERING","ENG-"&amp;TEXT(COUNTIF($G$3:G414,G414),"000"),IF(G414="PRODUKSI","PRO-"&amp;TEXT(COUNTIF($G$3:G414,G414),"000"),IF(G414="SURVEY","SUR-"&amp;TEXT(COUNTIF($G$3:G414,G414),"000"),"")))))))))))</f>
        <v>HSE-024</v>
      </c>
      <c r="I414" s="3"/>
      <c r="J414" s="3"/>
    </row>
    <row r="415" spans="2:10" ht="15.5">
      <c r="B415" s="4" t="s">
        <v>805</v>
      </c>
      <c r="C415" s="16" t="s">
        <v>763</v>
      </c>
      <c r="D415" s="46">
        <v>100000</v>
      </c>
      <c r="E415" s="40" t="s">
        <v>14</v>
      </c>
      <c r="F415" s="32"/>
      <c r="G415" s="21" t="s">
        <v>723</v>
      </c>
      <c r="H415" s="2" t="str">
        <f>IF(G415="","",IF(G415="EKSPLORASI","EXP-"&amp;TEXT(COUNTIF($G$3:G415,G415),"000"),IF(G415="HSE","HSE-"&amp;TEXT(COUNTIF($G$3:G415,G415),"000"),IF(G415="QAQC","QAQC-"&amp;TEXT(COUNTIF($G$3:G415,G415),"000"),IF(G415="HCGA","HCGA-"&amp;TEXT(COUNTIF($G$3:G415,G415),"000"),IF(G415="MAINTENANCE","MNT-"&amp;TEXT(COUNTIF($G$3:G415,G415),"000"),IF(G415="CIVIL","CIV-"&amp;TEXT(COUNTIF($G$3:G415,G415),"000"),IF(G415="GANIS","GAN-"&amp;TEXT(COUNTIF($G$3:G415,G415),"000"),IF(G415="ENGINEERING","ENG-"&amp;TEXT(COUNTIF($G$3:G415,G415),"000"),IF(G415="PRODUKSI","PRO-"&amp;TEXT(COUNTIF($G$3:G415,G415),"000"),IF(G415="SURVEY","SUR-"&amp;TEXT(COUNTIF($G$3:G415,G415),"000"),"")))))))))))</f>
        <v>HSE-025</v>
      </c>
      <c r="I415" s="3"/>
      <c r="J415" s="3"/>
    </row>
    <row r="416" spans="2:10" ht="15.5">
      <c r="B416" s="4" t="s">
        <v>807</v>
      </c>
      <c r="C416" s="16" t="s">
        <v>765</v>
      </c>
      <c r="D416" s="46">
        <v>50000</v>
      </c>
      <c r="E416" s="40" t="s">
        <v>84</v>
      </c>
      <c r="F416" s="32"/>
      <c r="G416" s="21" t="s">
        <v>723</v>
      </c>
      <c r="H416" s="2" t="str">
        <f>IF(G416="","",IF(G416="EKSPLORASI","EXP-"&amp;TEXT(COUNTIF($G$3:G416,G416),"000"),IF(G416="HSE","HSE-"&amp;TEXT(COUNTIF($G$3:G416,G416),"000"),IF(G416="QAQC","QAQC-"&amp;TEXT(COUNTIF($G$3:G416,G416),"000"),IF(G416="HCGA","HCGA-"&amp;TEXT(COUNTIF($G$3:G416,G416),"000"),IF(G416="MAINTENANCE","MNT-"&amp;TEXT(COUNTIF($G$3:G416,G416),"000"),IF(G416="CIVIL","CIV-"&amp;TEXT(COUNTIF($G$3:G416,G416),"000"),IF(G416="GANIS","GAN-"&amp;TEXT(COUNTIF($G$3:G416,G416),"000"),IF(G416="ENGINEERING","ENG-"&amp;TEXT(COUNTIF($G$3:G416,G416),"000"),IF(G416="PRODUKSI","PRO-"&amp;TEXT(COUNTIF($G$3:G416,G416),"000"),IF(G416="SURVEY","SUR-"&amp;TEXT(COUNTIF($G$3:G416,G416),"000"),"")))))))))))</f>
        <v>HSE-026</v>
      </c>
      <c r="I416" s="3"/>
      <c r="J416" s="3"/>
    </row>
    <row r="417" spans="2:10" ht="15.5">
      <c r="B417" s="4" t="s">
        <v>809</v>
      </c>
      <c r="C417" s="16" t="s">
        <v>767</v>
      </c>
      <c r="D417" s="46">
        <v>75000</v>
      </c>
      <c r="E417" s="40" t="s">
        <v>14</v>
      </c>
      <c r="F417" s="32"/>
      <c r="G417" s="21" t="s">
        <v>723</v>
      </c>
      <c r="H417" s="2" t="str">
        <f>IF(G417="","",IF(G417="EKSPLORASI","EXP-"&amp;TEXT(COUNTIF($G$3:G417,G417),"000"),IF(G417="HSE","HSE-"&amp;TEXT(COUNTIF($G$3:G417,G417),"000"),IF(G417="QAQC","QAQC-"&amp;TEXT(COUNTIF($G$3:G417,G417),"000"),IF(G417="HCGA","HCGA-"&amp;TEXT(COUNTIF($G$3:G417,G417),"000"),IF(G417="MAINTENANCE","MNT-"&amp;TEXT(COUNTIF($G$3:G417,G417),"000"),IF(G417="CIVIL","CIV-"&amp;TEXT(COUNTIF($G$3:G417,G417),"000"),IF(G417="GANIS","GAN-"&amp;TEXT(COUNTIF($G$3:G417,G417),"000"),IF(G417="ENGINEERING","ENG-"&amp;TEXT(COUNTIF($G$3:G417,G417),"000"),IF(G417="PRODUKSI","PRO-"&amp;TEXT(COUNTIF($G$3:G417,G417),"000"),IF(G417="SURVEY","SUR-"&amp;TEXT(COUNTIF($G$3:G417,G417),"000"),"")))))))))))</f>
        <v>HSE-027</v>
      </c>
      <c r="I417" s="3"/>
      <c r="J417" s="3"/>
    </row>
    <row r="418" spans="2:10" ht="15.5">
      <c r="B418" s="4" t="s">
        <v>811</v>
      </c>
      <c r="C418" s="16" t="s">
        <v>1132</v>
      </c>
      <c r="D418" s="46">
        <v>20000</v>
      </c>
      <c r="E418" s="40" t="s">
        <v>14</v>
      </c>
      <c r="F418" s="32"/>
      <c r="G418" s="21" t="s">
        <v>723</v>
      </c>
      <c r="H418" s="2" t="str">
        <f>IF(G418="","",IF(G418="EKSPLORASI","EXP-"&amp;TEXT(COUNTIF($G$3:G418,G418),"000"),IF(G418="HSE","HSE-"&amp;TEXT(COUNTIF($G$3:G418,G418),"000"),IF(G418="QAQC","QAQC-"&amp;TEXT(COUNTIF($G$3:G418,G418),"000"),IF(G418="HCGA","HCGA-"&amp;TEXT(COUNTIF($G$3:G418,G418),"000"),IF(G418="MAINTENANCE","MNT-"&amp;TEXT(COUNTIF($G$3:G418,G418),"000"),IF(G418="CIVIL","CIV-"&amp;TEXT(COUNTIF($G$3:G418,G418),"000"),IF(G418="GANIS","GAN-"&amp;TEXT(COUNTIF($G$3:G418,G418),"000"),IF(G418="ENGINEERING","ENG-"&amp;TEXT(COUNTIF($G$3:G418,G418),"000"),IF(G418="PRODUKSI","PRO-"&amp;TEXT(COUNTIF($G$3:G418,G418),"000"),IF(G418="SURVEY","SUR-"&amp;TEXT(COUNTIF($G$3:G418,G418),"000"),"")))))))))))</f>
        <v>HSE-028</v>
      </c>
      <c r="I418" s="3"/>
      <c r="J418" s="3"/>
    </row>
    <row r="419" spans="2:10" ht="15.5">
      <c r="B419" s="4" t="s">
        <v>813</v>
      </c>
      <c r="C419" s="16" t="s">
        <v>711</v>
      </c>
      <c r="D419" s="46">
        <v>250000</v>
      </c>
      <c r="E419" s="40" t="s">
        <v>14</v>
      </c>
      <c r="F419" s="32"/>
      <c r="G419" s="21" t="s">
        <v>723</v>
      </c>
      <c r="H419" s="2" t="str">
        <f>IF(G419="","",IF(G419="EKSPLORASI","EXP-"&amp;TEXT(COUNTIF($G$3:G419,G419),"000"),IF(G419="HSE","HSE-"&amp;TEXT(COUNTIF($G$3:G419,G419),"000"),IF(G419="QAQC","QAQC-"&amp;TEXT(COUNTIF($G$3:G419,G419),"000"),IF(G419="HCGA","HCGA-"&amp;TEXT(COUNTIF($G$3:G419,G419),"000"),IF(G419="MAINTENANCE","MNT-"&amp;TEXT(COUNTIF($G$3:G419,G419),"000"),IF(G419="CIVIL","CIV-"&amp;TEXT(COUNTIF($G$3:G419,G419),"000"),IF(G419="GANIS","GAN-"&amp;TEXT(COUNTIF($G$3:G419,G419),"000"),IF(G419="ENGINEERING","ENG-"&amp;TEXT(COUNTIF($G$3:G419,G419),"000"),IF(G419="PRODUKSI","PRO-"&amp;TEXT(COUNTIF($G$3:G419,G419),"000"),IF(G419="SURVEY","SUR-"&amp;TEXT(COUNTIF($G$3:G419,G419),"000"),"")))))))))))</f>
        <v>HSE-029</v>
      </c>
      <c r="I419" s="3"/>
      <c r="J419" s="3"/>
    </row>
    <row r="420" spans="2:10" ht="15.5">
      <c r="B420" s="4" t="s">
        <v>814</v>
      </c>
      <c r="C420" s="16" t="s">
        <v>771</v>
      </c>
      <c r="D420" s="46">
        <v>35000</v>
      </c>
      <c r="E420" s="40" t="s">
        <v>14</v>
      </c>
      <c r="F420" s="32"/>
      <c r="G420" s="21" t="s">
        <v>723</v>
      </c>
      <c r="H420" s="2" t="str">
        <f>IF(G420="","",IF(G420="EKSPLORASI","EXP-"&amp;TEXT(COUNTIF($G$3:G420,G420),"000"),IF(G420="HSE","HSE-"&amp;TEXT(COUNTIF($G$3:G420,G420),"000"),IF(G420="QAQC","QAQC-"&amp;TEXT(COUNTIF($G$3:G420,G420),"000"),IF(G420="HCGA","HCGA-"&amp;TEXT(COUNTIF($G$3:G420,G420),"000"),IF(G420="MAINTENANCE","MNT-"&amp;TEXT(COUNTIF($G$3:G420,G420),"000"),IF(G420="CIVIL","CIV-"&amp;TEXT(COUNTIF($G$3:G420,G420),"000"),IF(G420="GANIS","GAN-"&amp;TEXT(COUNTIF($G$3:G420,G420),"000"),IF(G420="ENGINEERING","ENG-"&amp;TEXT(COUNTIF($G$3:G420,G420),"000"),IF(G420="PRODUKSI","PRO-"&amp;TEXT(COUNTIF($G$3:G420,G420),"000"),IF(G420="SURVEY","SUR-"&amp;TEXT(COUNTIF($G$3:G420,G420),"000"),"")))))))))))</f>
        <v>HSE-030</v>
      </c>
      <c r="I420" s="3"/>
      <c r="J420" s="3"/>
    </row>
    <row r="421" spans="2:10" ht="15.5">
      <c r="B421" s="4" t="s">
        <v>815</v>
      </c>
      <c r="C421" s="16" t="s">
        <v>773</v>
      </c>
      <c r="D421" s="46"/>
      <c r="E421" s="40" t="s">
        <v>43</v>
      </c>
      <c r="F421" s="32"/>
      <c r="G421" s="21" t="s">
        <v>723</v>
      </c>
      <c r="H421" s="2" t="str">
        <f>IF(G421="","",IF(G421="EKSPLORASI","EXP-"&amp;TEXT(COUNTIF($G$3:G421,G421),"000"),IF(G421="HSE","HSE-"&amp;TEXT(COUNTIF($G$3:G421,G421),"000"),IF(G421="QAQC","QAQC-"&amp;TEXT(COUNTIF($G$3:G421,G421),"000"),IF(G421="HCGA","HCGA-"&amp;TEXT(COUNTIF($G$3:G421,G421),"000"),IF(G421="MAINTENANCE","MNT-"&amp;TEXT(COUNTIF($G$3:G421,G421),"000"),IF(G421="CIVIL","CIV-"&amp;TEXT(COUNTIF($G$3:G421,G421),"000"),IF(G421="GANIS","GAN-"&amp;TEXT(COUNTIF($G$3:G421,G421),"000"),IF(G421="ENGINEERING","ENG-"&amp;TEXT(COUNTIF($G$3:G421,G421),"000"),IF(G421="PRODUKSI","PRO-"&amp;TEXT(COUNTIF($G$3:G421,G421),"000"),IF(G421="SURVEY","SUR-"&amp;TEXT(COUNTIF($G$3:G421,G421),"000"),"")))))))))))</f>
        <v>HSE-031</v>
      </c>
      <c r="I421" s="3"/>
      <c r="J421" s="3"/>
    </row>
    <row r="422" spans="2:10" ht="15.5">
      <c r="B422" s="4" t="s">
        <v>817</v>
      </c>
      <c r="C422" s="16" t="s">
        <v>775</v>
      </c>
      <c r="D422" s="46"/>
      <c r="E422" s="40" t="s">
        <v>43</v>
      </c>
      <c r="F422" s="32"/>
      <c r="G422" s="21" t="s">
        <v>723</v>
      </c>
      <c r="H422" s="2" t="str">
        <f>IF(G422="","",IF(G422="EKSPLORASI","EXP-"&amp;TEXT(COUNTIF($G$3:G422,G422),"000"),IF(G422="HSE","HSE-"&amp;TEXT(COUNTIF($G$3:G422,G422),"000"),IF(G422="QAQC","QAQC-"&amp;TEXT(COUNTIF($G$3:G422,G422),"000"),IF(G422="HCGA","HCGA-"&amp;TEXT(COUNTIF($G$3:G422,G422),"000"),IF(G422="MAINTENANCE","MNT-"&amp;TEXT(COUNTIF($G$3:G422,G422),"000"),IF(G422="CIVIL","CIV-"&amp;TEXT(COUNTIF($G$3:G422,G422),"000"),IF(G422="GANIS","GAN-"&amp;TEXT(COUNTIF($G$3:G422,G422),"000"),IF(G422="ENGINEERING","ENG-"&amp;TEXT(COUNTIF($G$3:G422,G422),"000"),IF(G422="PRODUKSI","PRO-"&amp;TEXT(COUNTIF($G$3:G422,G422),"000"),IF(G422="SURVEY","SUR-"&amp;TEXT(COUNTIF($G$3:G422,G422),"000"),"")))))))))))</f>
        <v>HSE-032</v>
      </c>
      <c r="I422" s="3"/>
      <c r="J422" s="3"/>
    </row>
    <row r="423" spans="2:10" ht="15.5">
      <c r="B423" s="4" t="s">
        <v>819</v>
      </c>
      <c r="C423" s="16" t="s">
        <v>777</v>
      </c>
      <c r="D423" s="46"/>
      <c r="E423" s="40" t="s">
        <v>43</v>
      </c>
      <c r="F423" s="32"/>
      <c r="G423" s="21" t="s">
        <v>723</v>
      </c>
      <c r="H423" s="2" t="str">
        <f>IF(G423="","",IF(G423="EKSPLORASI","EXP-"&amp;TEXT(COUNTIF($G$3:G423,G423),"000"),IF(G423="HSE","HSE-"&amp;TEXT(COUNTIF($G$3:G423,G423),"000"),IF(G423="QAQC","QAQC-"&amp;TEXT(COUNTIF($G$3:G423,G423),"000"),IF(G423="HCGA","HCGA-"&amp;TEXT(COUNTIF($G$3:G423,G423),"000"),IF(G423="MAINTENANCE","MNT-"&amp;TEXT(COUNTIF($G$3:G423,G423),"000"),IF(G423="CIVIL","CIV-"&amp;TEXT(COUNTIF($G$3:G423,G423),"000"),IF(G423="GANIS","GAN-"&amp;TEXT(COUNTIF($G$3:G423,G423),"000"),IF(G423="ENGINEERING","ENG-"&amp;TEXT(COUNTIF($G$3:G423,G423),"000"),IF(G423="PRODUKSI","PRO-"&amp;TEXT(COUNTIF($G$3:G423,G423),"000"),IF(G423="SURVEY","SUR-"&amp;TEXT(COUNTIF($G$3:G423,G423),"000"),"")))))))))))</f>
        <v>HSE-033</v>
      </c>
      <c r="I423" s="3"/>
      <c r="J423" s="3"/>
    </row>
    <row r="424" spans="2:10" ht="15.5">
      <c r="B424" s="4" t="s">
        <v>821</v>
      </c>
      <c r="C424" s="16" t="s">
        <v>779</v>
      </c>
      <c r="D424" s="46"/>
      <c r="E424" s="40" t="s">
        <v>14</v>
      </c>
      <c r="F424" s="32"/>
      <c r="G424" s="21" t="s">
        <v>723</v>
      </c>
      <c r="H424" s="2" t="str">
        <f>IF(G424="","",IF(G424="EKSPLORASI","EXP-"&amp;TEXT(COUNTIF($G$3:G424,G424),"000"),IF(G424="HSE","HSE-"&amp;TEXT(COUNTIF($G$3:G424,G424),"000"),IF(G424="QAQC","QAQC-"&amp;TEXT(COUNTIF($G$3:G424,G424),"000"),IF(G424="HCGA","HCGA-"&amp;TEXT(COUNTIF($G$3:G424,G424),"000"),IF(G424="MAINTENANCE","MNT-"&amp;TEXT(COUNTIF($G$3:G424,G424),"000"),IF(G424="CIVIL","CIV-"&amp;TEXT(COUNTIF($G$3:G424,G424),"000"),IF(G424="GANIS","GAN-"&amp;TEXT(COUNTIF($G$3:G424,G424),"000"),IF(G424="ENGINEERING","ENG-"&amp;TEXT(COUNTIF($G$3:G424,G424),"000"),IF(G424="PRODUKSI","PRO-"&amp;TEXT(COUNTIF($G$3:G424,G424),"000"),IF(G424="SURVEY","SUR-"&amp;TEXT(COUNTIF($G$3:G424,G424),"000"),"")))))))))))</f>
        <v>HSE-034</v>
      </c>
      <c r="I424" s="3"/>
      <c r="J424" s="3"/>
    </row>
    <row r="425" spans="2:10" ht="15.5">
      <c r="B425" s="4" t="s">
        <v>823</v>
      </c>
      <c r="C425" s="16" t="s">
        <v>781</v>
      </c>
      <c r="D425" s="46"/>
      <c r="E425" s="40" t="s">
        <v>43</v>
      </c>
      <c r="F425" s="32"/>
      <c r="G425" s="21" t="s">
        <v>723</v>
      </c>
      <c r="H425" s="2" t="str">
        <f>IF(G425="","",IF(G425="EKSPLORASI","EXP-"&amp;TEXT(COUNTIF($G$3:G425,G425),"000"),IF(G425="HSE","HSE-"&amp;TEXT(COUNTIF($G$3:G425,G425),"000"),IF(G425="QAQC","QAQC-"&amp;TEXT(COUNTIF($G$3:G425,G425),"000"),IF(G425="HCGA","HCGA-"&amp;TEXT(COUNTIF($G$3:G425,G425),"000"),IF(G425="MAINTENANCE","MNT-"&amp;TEXT(COUNTIF($G$3:G425,G425),"000"),IF(G425="CIVIL","CIV-"&amp;TEXT(COUNTIF($G$3:G425,G425),"000"),IF(G425="GANIS","GAN-"&amp;TEXT(COUNTIF($G$3:G425,G425),"000"),IF(G425="ENGINEERING","ENG-"&amp;TEXT(COUNTIF($G$3:G425,G425),"000"),IF(G425="PRODUKSI","PRO-"&amp;TEXT(COUNTIF($G$3:G425,G425),"000"),IF(G425="SURVEY","SUR-"&amp;TEXT(COUNTIF($G$3:G425,G425),"000"),"")))))))))))</f>
        <v>HSE-035</v>
      </c>
      <c r="I425" s="3"/>
      <c r="J425" s="3"/>
    </row>
    <row r="426" spans="2:10" ht="15.5">
      <c r="B426" s="4" t="s">
        <v>825</v>
      </c>
      <c r="C426" s="16" t="s">
        <v>783</v>
      </c>
      <c r="D426" s="46"/>
      <c r="E426" s="40" t="s">
        <v>43</v>
      </c>
      <c r="F426" s="32"/>
      <c r="G426" s="21" t="s">
        <v>723</v>
      </c>
      <c r="H426" s="2" t="str">
        <f>IF(G426="","",IF(G426="EKSPLORASI","EXP-"&amp;TEXT(COUNTIF($G$3:G426,G426),"000"),IF(G426="HSE","HSE-"&amp;TEXT(COUNTIF($G$3:G426,G426),"000"),IF(G426="QAQC","QAQC-"&amp;TEXT(COUNTIF($G$3:G426,G426),"000"),IF(G426="HCGA","HCGA-"&amp;TEXT(COUNTIF($G$3:G426,G426),"000"),IF(G426="MAINTENANCE","MNT-"&amp;TEXT(COUNTIF($G$3:G426,G426),"000"),IF(G426="CIVIL","CIV-"&amp;TEXT(COUNTIF($G$3:G426,G426),"000"),IF(G426="GANIS","GAN-"&amp;TEXT(COUNTIF($G$3:G426,G426),"000"),IF(G426="ENGINEERING","ENG-"&amp;TEXT(COUNTIF($G$3:G426,G426),"000"),IF(G426="PRODUKSI","PRO-"&amp;TEXT(COUNTIF($G$3:G426,G426),"000"),IF(G426="SURVEY","SUR-"&amp;TEXT(COUNTIF($G$3:G426,G426),"000"),"")))))))))))</f>
        <v>HSE-036</v>
      </c>
      <c r="I426" s="3"/>
      <c r="J426" s="3"/>
    </row>
    <row r="427" spans="2:10" ht="15.5">
      <c r="B427" s="4" t="s">
        <v>826</v>
      </c>
      <c r="C427" s="16" t="s">
        <v>785</v>
      </c>
      <c r="D427" s="46"/>
      <c r="E427" s="40" t="s">
        <v>14</v>
      </c>
      <c r="F427" s="32"/>
      <c r="G427" s="21" t="s">
        <v>723</v>
      </c>
      <c r="H427" s="2" t="str">
        <f>IF(G427="","",IF(G427="EKSPLORASI","EXP-"&amp;TEXT(COUNTIF($G$3:G427,G427),"000"),IF(G427="HSE","HSE-"&amp;TEXT(COUNTIF($G$3:G427,G427),"000"),IF(G427="QAQC","QAQC-"&amp;TEXT(COUNTIF($G$3:G427,G427),"000"),IF(G427="HCGA","HCGA-"&amp;TEXT(COUNTIF($G$3:G427,G427),"000"),IF(G427="MAINTENANCE","MNT-"&amp;TEXT(COUNTIF($G$3:G427,G427),"000"),IF(G427="CIVIL","CIV-"&amp;TEXT(COUNTIF($G$3:G427,G427),"000"),IF(G427="GANIS","GAN-"&amp;TEXT(COUNTIF($G$3:G427,G427),"000"),IF(G427="ENGINEERING","ENG-"&amp;TEXT(COUNTIF($G$3:G427,G427),"000"),IF(G427="PRODUKSI","PRO-"&amp;TEXT(COUNTIF($G$3:G427,G427),"000"),IF(G427="SURVEY","SUR-"&amp;TEXT(COUNTIF($G$3:G427,G427),"000"),"")))))))))))</f>
        <v>HSE-037</v>
      </c>
      <c r="I427" s="3"/>
      <c r="J427" s="3"/>
    </row>
    <row r="428" spans="2:10" ht="15.5">
      <c r="B428" s="4" t="s">
        <v>827</v>
      </c>
      <c r="C428" s="16" t="s">
        <v>787</v>
      </c>
      <c r="D428" s="46"/>
      <c r="E428" s="40" t="s">
        <v>14</v>
      </c>
      <c r="F428" s="32"/>
      <c r="G428" s="21" t="s">
        <v>723</v>
      </c>
      <c r="H428" s="2" t="str">
        <f>IF(G428="","",IF(G428="EKSPLORASI","EXP-"&amp;TEXT(COUNTIF($G$3:G428,G428),"000"),IF(G428="HSE","HSE-"&amp;TEXT(COUNTIF($G$3:G428,G428),"000"),IF(G428="QAQC","QAQC-"&amp;TEXT(COUNTIF($G$3:G428,G428),"000"),IF(G428="HCGA","HCGA-"&amp;TEXT(COUNTIF($G$3:G428,G428),"000"),IF(G428="MAINTENANCE","MNT-"&amp;TEXT(COUNTIF($G$3:G428,G428),"000"),IF(G428="CIVIL","CIV-"&amp;TEXT(COUNTIF($G$3:G428,G428),"000"),IF(G428="GANIS","GAN-"&amp;TEXT(COUNTIF($G$3:G428,G428),"000"),IF(G428="ENGINEERING","ENG-"&amp;TEXT(COUNTIF($G$3:G428,G428),"000"),IF(G428="PRODUKSI","PRO-"&amp;TEXT(COUNTIF($G$3:G428,G428),"000"),IF(G428="SURVEY","SUR-"&amp;TEXT(COUNTIF($G$3:G428,G428),"000"),"")))))))))))</f>
        <v>HSE-038</v>
      </c>
      <c r="I428" s="3"/>
      <c r="J428" s="3"/>
    </row>
    <row r="429" spans="2:10" ht="15.5">
      <c r="B429" s="4" t="s">
        <v>829</v>
      </c>
      <c r="C429" s="16" t="s">
        <v>789</v>
      </c>
      <c r="D429" s="46"/>
      <c r="E429" s="40" t="s">
        <v>14</v>
      </c>
      <c r="F429" s="32"/>
      <c r="G429" s="21" t="s">
        <v>723</v>
      </c>
      <c r="H429" s="2" t="str">
        <f>IF(G429="","",IF(G429="EKSPLORASI","EXP-"&amp;TEXT(COUNTIF($G$3:G429,G429),"000"),IF(G429="HSE","HSE-"&amp;TEXT(COUNTIF($G$3:G429,G429),"000"),IF(G429="QAQC","QAQC-"&amp;TEXT(COUNTIF($G$3:G429,G429),"000"),IF(G429="HCGA","HCGA-"&amp;TEXT(COUNTIF($G$3:G429,G429),"000"),IF(G429="MAINTENANCE","MNT-"&amp;TEXT(COUNTIF($G$3:G429,G429),"000"),IF(G429="CIVIL","CIV-"&amp;TEXT(COUNTIF($G$3:G429,G429),"000"),IF(G429="GANIS","GAN-"&amp;TEXT(COUNTIF($G$3:G429,G429),"000"),IF(G429="ENGINEERING","ENG-"&amp;TEXT(COUNTIF($G$3:G429,G429),"000"),IF(G429="PRODUKSI","PRO-"&amp;TEXT(COUNTIF($G$3:G429,G429),"000"),IF(G429="SURVEY","SUR-"&amp;TEXT(COUNTIF($G$3:G429,G429),"000"),"")))))))))))</f>
        <v>HSE-039</v>
      </c>
      <c r="I429" s="3"/>
      <c r="J429" s="3"/>
    </row>
    <row r="430" spans="2:10" ht="15.5">
      <c r="B430" s="4" t="s">
        <v>831</v>
      </c>
      <c r="C430" s="16" t="s">
        <v>791</v>
      </c>
      <c r="D430" s="46"/>
      <c r="E430" s="40" t="s">
        <v>132</v>
      </c>
      <c r="F430" s="32"/>
      <c r="G430" s="21" t="s">
        <v>723</v>
      </c>
      <c r="H430" s="2" t="str">
        <f>IF(G430="","",IF(G430="EKSPLORASI","EXP-"&amp;TEXT(COUNTIF($G$3:G430,G430),"000"),IF(G430="HSE","HSE-"&amp;TEXT(COUNTIF($G$3:G430,G430),"000"),IF(G430="QAQC","QAQC-"&amp;TEXT(COUNTIF($G$3:G430,G430),"000"),IF(G430="HCGA","HCGA-"&amp;TEXT(COUNTIF($G$3:G430,G430),"000"),IF(G430="MAINTENANCE","MNT-"&amp;TEXT(COUNTIF($G$3:G430,G430),"000"),IF(G430="CIVIL","CIV-"&amp;TEXT(COUNTIF($G$3:G430,G430),"000"),IF(G430="GANIS","GAN-"&amp;TEXT(COUNTIF($G$3:G430,G430),"000"),IF(G430="ENGINEERING","ENG-"&amp;TEXT(COUNTIF($G$3:G430,G430),"000"),IF(G430="PRODUKSI","PRO-"&amp;TEXT(COUNTIF($G$3:G430,G430),"000"),IF(G430="SURVEY","SUR-"&amp;TEXT(COUNTIF($G$3:G430,G430),"000"),"")))))))))))</f>
        <v>HSE-040</v>
      </c>
      <c r="I430" s="3"/>
      <c r="J430" s="3"/>
    </row>
    <row r="431" spans="2:10" ht="15.5">
      <c r="B431" s="4" t="s">
        <v>833</v>
      </c>
      <c r="C431" s="16" t="s">
        <v>793</v>
      </c>
      <c r="D431" s="46"/>
      <c r="E431" s="40" t="s">
        <v>132</v>
      </c>
      <c r="F431" s="32"/>
      <c r="G431" s="21" t="s">
        <v>723</v>
      </c>
      <c r="H431" s="2" t="str">
        <f>IF(G431="","",IF(G431="EKSPLORASI","EXP-"&amp;TEXT(COUNTIF($G$3:G431,G431),"000"),IF(G431="HSE","HSE-"&amp;TEXT(COUNTIF($G$3:G431,G431),"000"),IF(G431="QAQC","QAQC-"&amp;TEXT(COUNTIF($G$3:G431,G431),"000"),IF(G431="HCGA","HCGA-"&amp;TEXT(COUNTIF($G$3:G431,G431),"000"),IF(G431="MAINTENANCE","MNT-"&amp;TEXT(COUNTIF($G$3:G431,G431),"000"),IF(G431="CIVIL","CIV-"&amp;TEXT(COUNTIF($G$3:G431,G431),"000"),IF(G431="GANIS","GAN-"&amp;TEXT(COUNTIF($G$3:G431,G431),"000"),IF(G431="ENGINEERING","ENG-"&amp;TEXT(COUNTIF($G$3:G431,G431),"000"),IF(G431="PRODUKSI","PRO-"&amp;TEXT(COUNTIF($G$3:G431,G431),"000"),IF(G431="SURVEY","SUR-"&amp;TEXT(COUNTIF($G$3:G431,G431),"000"),"")))))))))))</f>
        <v>HSE-041</v>
      </c>
      <c r="I431" s="3"/>
      <c r="J431" s="3"/>
    </row>
    <row r="432" spans="2:10" ht="15.5">
      <c r="B432" s="4" t="s">
        <v>835</v>
      </c>
      <c r="C432" s="16" t="s">
        <v>201</v>
      </c>
      <c r="D432" s="46"/>
      <c r="E432" s="40" t="s">
        <v>46</v>
      </c>
      <c r="F432" s="32"/>
      <c r="G432" s="21" t="s">
        <v>723</v>
      </c>
      <c r="H432" s="2" t="str">
        <f>IF(G432="","",IF(G432="EKSPLORASI","EXP-"&amp;TEXT(COUNTIF($G$3:G432,G432),"000"),IF(G432="HSE","HSE-"&amp;TEXT(COUNTIF($G$3:G432,G432),"000"),IF(G432="QAQC","QAQC-"&amp;TEXT(COUNTIF($G$3:G432,G432),"000"),IF(G432="HCGA","HCGA-"&amp;TEXT(COUNTIF($G$3:G432,G432),"000"),IF(G432="MAINTENANCE","MNT-"&amp;TEXT(COUNTIF($G$3:G432,G432),"000"),IF(G432="CIVIL","CIV-"&amp;TEXT(COUNTIF($G$3:G432,G432),"000"),IF(G432="GANIS","GAN-"&amp;TEXT(COUNTIF($G$3:G432,G432),"000"),IF(G432="ENGINEERING","ENG-"&amp;TEXT(COUNTIF($G$3:G432,G432),"000"),IF(G432="PRODUKSI","PRO-"&amp;TEXT(COUNTIF($G$3:G432,G432),"000"),IF(G432="SURVEY","SUR-"&amp;TEXT(COUNTIF($G$3:G432,G432),"000"),"")))))))))))</f>
        <v>HSE-042</v>
      </c>
      <c r="I432" s="3"/>
      <c r="J432" s="3"/>
    </row>
    <row r="433" spans="2:10" ht="15.5">
      <c r="B433" s="4" t="s">
        <v>836</v>
      </c>
      <c r="C433" s="16" t="s">
        <v>796</v>
      </c>
      <c r="D433" s="46"/>
      <c r="E433" s="40" t="s">
        <v>46</v>
      </c>
      <c r="F433" s="32"/>
      <c r="G433" s="21" t="s">
        <v>723</v>
      </c>
      <c r="H433" s="2" t="str">
        <f>IF(G433="","",IF(G433="EKSPLORASI","EXP-"&amp;TEXT(COUNTIF($G$3:G433,G433),"000"),IF(G433="HSE","HSE-"&amp;TEXT(COUNTIF($G$3:G433,G433),"000"),IF(G433="QAQC","QAQC-"&amp;TEXT(COUNTIF($G$3:G433,G433),"000"),IF(G433="HCGA","HCGA-"&amp;TEXT(COUNTIF($G$3:G433,G433),"000"),IF(G433="MAINTENANCE","MNT-"&amp;TEXT(COUNTIF($G$3:G433,G433),"000"),IF(G433="CIVIL","CIV-"&amp;TEXT(COUNTIF($G$3:G433,G433),"000"),IF(G433="GANIS","GAN-"&amp;TEXT(COUNTIF($G$3:G433,G433),"000"),IF(G433="ENGINEERING","ENG-"&amp;TEXT(COUNTIF($G$3:G433,G433),"000"),IF(G433="PRODUKSI","PRO-"&amp;TEXT(COUNTIF($G$3:G433,G433),"000"),IF(G433="SURVEY","SUR-"&amp;TEXT(COUNTIF($G$3:G433,G433),"000"),"")))))))))))</f>
        <v>HSE-043</v>
      </c>
      <c r="I433" s="3"/>
      <c r="J433" s="3"/>
    </row>
    <row r="434" spans="2:10" ht="15.5">
      <c r="B434" s="4" t="s">
        <v>838</v>
      </c>
      <c r="C434" s="16" t="s">
        <v>136</v>
      </c>
      <c r="D434" s="46"/>
      <c r="E434" s="40" t="s">
        <v>74</v>
      </c>
      <c r="F434" s="32"/>
      <c r="G434" s="21" t="s">
        <v>723</v>
      </c>
      <c r="H434" s="2" t="str">
        <f>IF(G434="","",IF(G434="EKSPLORASI","EXP-"&amp;TEXT(COUNTIF($G$3:G434,G434),"000"),IF(G434="HSE","HSE-"&amp;TEXT(COUNTIF($G$3:G434,G434),"000"),IF(G434="QAQC","QAQC-"&amp;TEXT(COUNTIF($G$3:G434,G434),"000"),IF(G434="HCGA","HCGA-"&amp;TEXT(COUNTIF($G$3:G434,G434),"000"),IF(G434="MAINTENANCE","MNT-"&amp;TEXT(COUNTIF($G$3:G434,G434),"000"),IF(G434="CIVIL","CIV-"&amp;TEXT(COUNTIF($G$3:G434,G434),"000"),IF(G434="GANIS","GAN-"&amp;TEXT(COUNTIF($G$3:G434,G434),"000"),IF(G434="ENGINEERING","ENG-"&amp;TEXT(COUNTIF($G$3:G434,G434),"000"),IF(G434="PRODUKSI","PRO-"&amp;TEXT(COUNTIF($G$3:G434,G434),"000"),IF(G434="SURVEY","SUR-"&amp;TEXT(COUNTIF($G$3:G434,G434),"000"),"")))))))))))</f>
        <v>HSE-044</v>
      </c>
      <c r="I434" s="3"/>
      <c r="J434" s="3"/>
    </row>
    <row r="435" spans="2:10" ht="15.5">
      <c r="B435" s="4" t="s">
        <v>840</v>
      </c>
      <c r="C435" s="16" t="s">
        <v>799</v>
      </c>
      <c r="D435" s="46"/>
      <c r="E435" s="40" t="s">
        <v>14</v>
      </c>
      <c r="F435" s="32"/>
      <c r="G435" s="21" t="s">
        <v>723</v>
      </c>
      <c r="H435" s="2" t="str">
        <f>IF(G435="","",IF(G435="EKSPLORASI","EXP-"&amp;TEXT(COUNTIF($G$3:G435,G435),"000"),IF(G435="HSE","HSE-"&amp;TEXT(COUNTIF($G$3:G435,G435),"000"),IF(G435="QAQC","QAQC-"&amp;TEXT(COUNTIF($G$3:G435,G435),"000"),IF(G435="HCGA","HCGA-"&amp;TEXT(COUNTIF($G$3:G435,G435),"000"),IF(G435="MAINTENANCE","MNT-"&amp;TEXT(COUNTIF($G$3:G435,G435),"000"),IF(G435="CIVIL","CIV-"&amp;TEXT(COUNTIF($G$3:G435,G435),"000"),IF(G435="GANIS","GAN-"&amp;TEXT(COUNTIF($G$3:G435,G435),"000"),IF(G435="ENGINEERING","ENG-"&amp;TEXT(COUNTIF($G$3:G435,G435),"000"),IF(G435="PRODUKSI","PRO-"&amp;TEXT(COUNTIF($G$3:G435,G435),"000"),IF(G435="SURVEY","SUR-"&amp;TEXT(COUNTIF($G$3:G435,G435),"000"),"")))))))))))</f>
        <v>HSE-045</v>
      </c>
      <c r="I435" s="3"/>
      <c r="J435" s="3"/>
    </row>
    <row r="436" spans="2:10" ht="15.5">
      <c r="B436" s="4" t="s">
        <v>843</v>
      </c>
      <c r="C436" s="16" t="s">
        <v>801</v>
      </c>
      <c r="D436" s="46"/>
      <c r="E436" s="40" t="s">
        <v>14</v>
      </c>
      <c r="F436" s="32"/>
      <c r="G436" s="21" t="s">
        <v>723</v>
      </c>
      <c r="H436" s="2" t="str">
        <f>IF(G436="","",IF(G436="EKSPLORASI","EXP-"&amp;TEXT(COUNTIF($G$3:G436,G436),"000"),IF(G436="HSE","HSE-"&amp;TEXT(COUNTIF($G$3:G436,G436),"000"),IF(G436="QAQC","QAQC-"&amp;TEXT(COUNTIF($G$3:G436,G436),"000"),IF(G436="HCGA","HCGA-"&amp;TEXT(COUNTIF($G$3:G436,G436),"000"),IF(G436="MAINTENANCE","MNT-"&amp;TEXT(COUNTIF($G$3:G436,G436),"000"),IF(G436="CIVIL","CIV-"&amp;TEXT(COUNTIF($G$3:G436,G436),"000"),IF(G436="GANIS","GAN-"&amp;TEXT(COUNTIF($G$3:G436,G436),"000"),IF(G436="ENGINEERING","ENG-"&amp;TEXT(COUNTIF($G$3:G436,G436),"000"),IF(G436="PRODUKSI","PRO-"&amp;TEXT(COUNTIF($G$3:G436,G436),"000"),IF(G436="SURVEY","SUR-"&amp;TEXT(COUNTIF($G$3:G436,G436),"000"),"")))))))))))</f>
        <v>HSE-046</v>
      </c>
      <c r="I436" s="3"/>
      <c r="J436" s="3"/>
    </row>
    <row r="437" spans="2:10" ht="15.5">
      <c r="B437" s="4" t="s">
        <v>845</v>
      </c>
      <c r="C437" s="11" t="s">
        <v>620</v>
      </c>
      <c r="D437" s="46"/>
      <c r="E437" s="40" t="s">
        <v>14</v>
      </c>
      <c r="F437" s="32"/>
      <c r="G437" s="21" t="s">
        <v>723</v>
      </c>
      <c r="H437" s="2" t="str">
        <f>IF(G437="","",IF(G437="EKSPLORASI","EXP-"&amp;TEXT(COUNTIF($G$3:G437,G437),"000"),IF(G437="HSE","HSE-"&amp;TEXT(COUNTIF($G$3:G437,G437),"000"),IF(G437="QAQC","QAQC-"&amp;TEXT(COUNTIF($G$3:G437,G437),"000"),IF(G437="HCGA","HCGA-"&amp;TEXT(COUNTIF($G$3:G437,G437),"000"),IF(G437="MAINTENANCE","MNT-"&amp;TEXT(COUNTIF($G$3:G437,G437),"000"),IF(G437="CIVIL","CIV-"&amp;TEXT(COUNTIF($G$3:G437,G437),"000"),IF(G437="GANIS","GAN-"&amp;TEXT(COUNTIF($G$3:G437,G437),"000"),IF(G437="ENGINEERING","ENG-"&amp;TEXT(COUNTIF($G$3:G437,G437),"000"),IF(G437="PRODUKSI","PRO-"&amp;TEXT(COUNTIF($G$3:G437,G437),"000"),IF(G437="SURVEY","SUR-"&amp;TEXT(COUNTIF($G$3:G437,G437),"000"),"")))))))))))</f>
        <v>HSE-047</v>
      </c>
      <c r="I437" s="3"/>
      <c r="J437" s="3"/>
    </row>
    <row r="438" spans="2:10" ht="15.5">
      <c r="B438" s="4" t="s">
        <v>847</v>
      </c>
      <c r="C438" s="11" t="s">
        <v>804</v>
      </c>
      <c r="D438" s="46"/>
      <c r="E438" s="40" t="s">
        <v>132</v>
      </c>
      <c r="F438" s="32"/>
      <c r="G438" s="21" t="s">
        <v>723</v>
      </c>
      <c r="H438" s="2" t="str">
        <f>IF(G438="","",IF(G438="EKSPLORASI","EXP-"&amp;TEXT(COUNTIF($G$3:G438,G438),"000"),IF(G438="HSE","HSE-"&amp;TEXT(COUNTIF($G$3:G438,G438),"000"),IF(G438="QAQC","QAQC-"&amp;TEXT(COUNTIF($G$3:G438,G438),"000"),IF(G438="HCGA","HCGA-"&amp;TEXT(COUNTIF($G$3:G438,G438),"000"),IF(G438="MAINTENANCE","MNT-"&amp;TEXT(COUNTIF($G$3:G438,G438),"000"),IF(G438="CIVIL","CIV-"&amp;TEXT(COUNTIF($G$3:G438,G438),"000"),IF(G438="GANIS","GAN-"&amp;TEXT(COUNTIF($G$3:G438,G438),"000"),IF(G438="ENGINEERING","ENG-"&amp;TEXT(COUNTIF($G$3:G438,G438),"000"),IF(G438="PRODUKSI","PRO-"&amp;TEXT(COUNTIF($G$3:G438,G438),"000"),IF(G438="SURVEY","SUR-"&amp;TEXT(COUNTIF($G$3:G438,G438),"000"),"")))))))))))</f>
        <v>HSE-048</v>
      </c>
      <c r="I438" s="3"/>
      <c r="J438" s="3"/>
    </row>
    <row r="439" spans="2:10" ht="15.5">
      <c r="B439" s="4" t="s">
        <v>849</v>
      </c>
      <c r="C439" s="16" t="s">
        <v>602</v>
      </c>
      <c r="D439" s="46"/>
      <c r="E439" s="40" t="s">
        <v>806</v>
      </c>
      <c r="F439" s="32"/>
      <c r="G439" s="21" t="s">
        <v>723</v>
      </c>
      <c r="H439" s="2" t="str">
        <f>IF(G439="","",IF(G439="EKSPLORASI","EXP-"&amp;TEXT(COUNTIF($G$3:G439,G439),"000"),IF(G439="HSE","HSE-"&amp;TEXT(COUNTIF($G$3:G439,G439),"000"),IF(G439="QAQC","QAQC-"&amp;TEXT(COUNTIF($G$3:G439,G439),"000"),IF(G439="HCGA","HCGA-"&amp;TEXT(COUNTIF($G$3:G439,G439),"000"),IF(G439="MAINTENANCE","MNT-"&amp;TEXT(COUNTIF($G$3:G439,G439),"000"),IF(G439="CIVIL","CIV-"&amp;TEXT(COUNTIF($G$3:G439,G439),"000"),IF(G439="GANIS","GAN-"&amp;TEXT(COUNTIF($G$3:G439,G439),"000"),IF(G439="ENGINEERING","ENG-"&amp;TEXT(COUNTIF($G$3:G439,G439),"000"),IF(G439="PRODUKSI","PRO-"&amp;TEXT(COUNTIF($G$3:G439,G439),"000"),IF(G439="SURVEY","SUR-"&amp;TEXT(COUNTIF($G$3:G439,G439),"000"),"")))))))))))</f>
        <v>HSE-049</v>
      </c>
      <c r="I439" s="3"/>
      <c r="J439" s="3"/>
    </row>
    <row r="440" spans="2:10" ht="15.5">
      <c r="B440" s="4" t="s">
        <v>850</v>
      </c>
      <c r="C440" s="16" t="s">
        <v>808</v>
      </c>
      <c r="D440" s="46"/>
      <c r="E440" s="40" t="s">
        <v>14</v>
      </c>
      <c r="F440" s="32"/>
      <c r="G440" s="21" t="s">
        <v>723</v>
      </c>
      <c r="H440" s="2" t="str">
        <f>IF(G440="","",IF(G440="EKSPLORASI","EXP-"&amp;TEXT(COUNTIF($G$3:G440,G440),"000"),IF(G440="HSE","HSE-"&amp;TEXT(COUNTIF($G$3:G440,G440),"000"),IF(G440="QAQC","QAQC-"&amp;TEXT(COUNTIF($G$3:G440,G440),"000"),IF(G440="HCGA","HCGA-"&amp;TEXT(COUNTIF($G$3:G440,G440),"000"),IF(G440="MAINTENANCE","MNT-"&amp;TEXT(COUNTIF($G$3:G440,G440),"000"),IF(G440="CIVIL","CIV-"&amp;TEXT(COUNTIF($G$3:G440,G440),"000"),IF(G440="GANIS","GAN-"&amp;TEXT(COUNTIF($G$3:G440,G440),"000"),IF(G440="ENGINEERING","ENG-"&amp;TEXT(COUNTIF($G$3:G440,G440),"000"),IF(G440="PRODUKSI","PRO-"&amp;TEXT(COUNTIF($G$3:G440,G440),"000"),IF(G440="SURVEY","SUR-"&amp;TEXT(COUNTIF($G$3:G440,G440),"000"),"")))))))))))</f>
        <v>HSE-050</v>
      </c>
      <c r="I440" s="3"/>
      <c r="J440" s="3"/>
    </row>
    <row r="441" spans="2:10" ht="15.5">
      <c r="B441" s="4" t="s">
        <v>852</v>
      </c>
      <c r="C441" s="16" t="s">
        <v>810</v>
      </c>
      <c r="D441" s="48">
        <v>30000</v>
      </c>
      <c r="E441" s="40" t="s">
        <v>14</v>
      </c>
      <c r="F441" s="32"/>
      <c r="G441" s="21" t="s">
        <v>723</v>
      </c>
      <c r="H441" s="2" t="str">
        <f>IF(G441="","",IF(G441="EKSPLORASI","EXP-"&amp;TEXT(COUNTIF($G$3:G441,G441),"000"),IF(G441="HSE","HSE-"&amp;TEXT(COUNTIF($G$3:G441,G441),"000"),IF(G441="QAQC","QAQC-"&amp;TEXT(COUNTIF($G$3:G441,G441),"000"),IF(G441="HCGA","HCGA-"&amp;TEXT(COUNTIF($G$3:G441,G441),"000"),IF(G441="MAINTENANCE","MNT-"&amp;TEXT(COUNTIF($G$3:G441,G441),"000"),IF(G441="CIVIL","CIV-"&amp;TEXT(COUNTIF($G$3:G441,G441),"000"),IF(G441="GANIS","GAN-"&amp;TEXT(COUNTIF($G$3:G441,G441),"000"),IF(G441="ENGINEERING","ENG-"&amp;TEXT(COUNTIF($G$3:G441,G441),"000"),IF(G441="PRODUKSI","PRO-"&amp;TEXT(COUNTIF($G$3:G441,G441),"000"),IF(G441="SURVEY","SUR-"&amp;TEXT(COUNTIF($G$3:G441,G441),"000"),"")))))))))))</f>
        <v>HSE-051</v>
      </c>
      <c r="I441" s="3"/>
      <c r="J441" s="3"/>
    </row>
    <row r="442" spans="2:10" ht="15.5">
      <c r="B442" s="4" t="s">
        <v>854</v>
      </c>
      <c r="C442" s="16" t="s">
        <v>812</v>
      </c>
      <c r="D442" s="46"/>
      <c r="E442" s="40" t="s">
        <v>11</v>
      </c>
      <c r="F442" s="32"/>
      <c r="G442" s="21" t="s">
        <v>723</v>
      </c>
      <c r="H442" s="2" t="str">
        <f>IF(G442="","",IF(G442="EKSPLORASI","EXP-"&amp;TEXT(COUNTIF($G$3:G442,G442),"000"),IF(G442="HSE","HSE-"&amp;TEXT(COUNTIF($G$3:G442,G442),"000"),IF(G442="QAQC","QAQC-"&amp;TEXT(COUNTIF($G$3:G442,G442),"000"),IF(G442="HCGA","HCGA-"&amp;TEXT(COUNTIF($G$3:G442,G442),"000"),IF(G442="MAINTENANCE","MNT-"&amp;TEXT(COUNTIF($G$3:G442,G442),"000"),IF(G442="CIVIL","CIV-"&amp;TEXT(COUNTIF($G$3:G442,G442),"000"),IF(G442="GANIS","GAN-"&amp;TEXT(COUNTIF($G$3:G442,G442),"000"),IF(G442="ENGINEERING","ENG-"&amp;TEXT(COUNTIF($G$3:G442,G442),"000"),IF(G442="PRODUKSI","PRO-"&amp;TEXT(COUNTIF($G$3:G442,G442),"000"),IF(G442="SURVEY","SUR-"&amp;TEXT(COUNTIF($G$3:G442,G442),"000"),"")))))))))))</f>
        <v>HSE-052</v>
      </c>
      <c r="I442" s="3"/>
      <c r="J442" s="3"/>
    </row>
    <row r="443" spans="2:10" ht="15.5">
      <c r="B443" s="4" t="s">
        <v>856</v>
      </c>
      <c r="C443" s="16" t="s">
        <v>285</v>
      </c>
      <c r="D443" s="46">
        <v>20000</v>
      </c>
      <c r="E443" s="40" t="s">
        <v>74</v>
      </c>
      <c r="F443" s="34" t="s">
        <v>1089</v>
      </c>
      <c r="G443" s="21" t="s">
        <v>723</v>
      </c>
      <c r="H443" s="2" t="str">
        <f>IF(G443="","",IF(G443="EKSPLORASI","EXP-"&amp;TEXT(COUNTIF($G$3:G443,G443),"000"),IF(G443="HSE","HSE-"&amp;TEXT(COUNTIF($G$3:G443,G443),"000"),IF(G443="QAQC","QAQC-"&amp;TEXT(COUNTIF($G$3:G443,G443),"000"),IF(G443="HCGA","HCGA-"&amp;TEXT(COUNTIF($G$3:G443,G443),"000"),IF(G443="MAINTENANCE","MNT-"&amp;TEXT(COUNTIF($G$3:G443,G443),"000"),IF(G443="CIVIL","CIV-"&amp;TEXT(COUNTIF($G$3:G443,G443),"000"),IF(G443="GANIS","GAN-"&amp;TEXT(COUNTIF($G$3:G443,G443),"000"),IF(G443="ENGINEERING","ENG-"&amp;TEXT(COUNTIF($G$3:G443,G443),"000"),IF(G443="PRODUKSI","PRO-"&amp;TEXT(COUNTIF($G$3:G443,G443),"000"),IF(G443="SURVEY","SUR-"&amp;TEXT(COUNTIF($G$3:G443,G443),"000"),"")))))))))))</f>
        <v>HSE-053</v>
      </c>
      <c r="I443" s="3"/>
      <c r="J443" s="3"/>
    </row>
    <row r="444" spans="2:10" ht="15.5">
      <c r="B444" s="4" t="s">
        <v>858</v>
      </c>
      <c r="C444" s="16" t="s">
        <v>337</v>
      </c>
      <c r="D444" s="46">
        <v>30000</v>
      </c>
      <c r="E444" s="40" t="s">
        <v>74</v>
      </c>
      <c r="F444" s="34" t="s">
        <v>1089</v>
      </c>
      <c r="G444" s="21" t="s">
        <v>723</v>
      </c>
      <c r="H444" s="2" t="str">
        <f>IF(G444="","",IF(G444="EKSPLORASI","EXP-"&amp;TEXT(COUNTIF($G$3:G444,G444),"000"),IF(G444="HSE","HSE-"&amp;TEXT(COUNTIF($G$3:G444,G444),"000"),IF(G444="QAQC","QAQC-"&amp;TEXT(COUNTIF($G$3:G444,G444),"000"),IF(G444="HCGA","HCGA-"&amp;TEXT(COUNTIF($G$3:G444,G444),"000"),IF(G444="MAINTENANCE","MNT-"&amp;TEXT(COUNTIF($G$3:G444,G444),"000"),IF(G444="CIVIL","CIV-"&amp;TEXT(COUNTIF($G$3:G444,G444),"000"),IF(G444="GANIS","GAN-"&amp;TEXT(COUNTIF($G$3:G444,G444),"000"),IF(G444="ENGINEERING","ENG-"&amp;TEXT(COUNTIF($G$3:G444,G444),"000"),IF(G444="PRODUKSI","PRO-"&amp;TEXT(COUNTIF($G$3:G444,G444),"000"),IF(G444="SURVEY","SUR-"&amp;TEXT(COUNTIF($G$3:G444,G444),"000"),"")))))))))))</f>
        <v>HSE-054</v>
      </c>
      <c r="I444" s="3"/>
      <c r="J444" s="3"/>
    </row>
    <row r="445" spans="2:10" ht="15.5">
      <c r="B445" s="4" t="s">
        <v>860</v>
      </c>
      <c r="C445" s="16" t="s">
        <v>816</v>
      </c>
      <c r="D445" s="46"/>
      <c r="E445" s="40" t="s">
        <v>43</v>
      </c>
      <c r="F445" s="32"/>
      <c r="G445" s="21" t="s">
        <v>723</v>
      </c>
      <c r="H445" s="2" t="str">
        <f>IF(G445="","",IF(G445="EKSPLORASI","EXP-"&amp;TEXT(COUNTIF($G$3:G445,G445),"000"),IF(G445="HSE","HSE-"&amp;TEXT(COUNTIF($G$3:G445,G445),"000"),IF(G445="QAQC","QAQC-"&amp;TEXT(COUNTIF($G$3:G445,G445),"000"),IF(G445="HCGA","HCGA-"&amp;TEXT(COUNTIF($G$3:G445,G445),"000"),IF(G445="MAINTENANCE","MNT-"&amp;TEXT(COUNTIF($G$3:G445,G445),"000"),IF(G445="CIVIL","CIV-"&amp;TEXT(COUNTIF($G$3:G445,G445),"000"),IF(G445="GANIS","GAN-"&amp;TEXT(COUNTIF($G$3:G445,G445),"000"),IF(G445="ENGINEERING","ENG-"&amp;TEXT(COUNTIF($G$3:G445,G445),"000"),IF(G445="PRODUKSI","PRO-"&amp;TEXT(COUNTIF($G$3:G445,G445),"000"),IF(G445="SURVEY","SUR-"&amp;TEXT(COUNTIF($G$3:G445,G445),"000"),"")))))))))))</f>
        <v>HSE-055</v>
      </c>
      <c r="I445" s="3"/>
      <c r="J445" s="3"/>
    </row>
    <row r="446" spans="2:10" ht="15.5">
      <c r="B446" s="4" t="s">
        <v>861</v>
      </c>
      <c r="C446" s="16" t="s">
        <v>818</v>
      </c>
      <c r="D446" s="46"/>
      <c r="E446" s="40" t="s">
        <v>14</v>
      </c>
      <c r="F446" s="32"/>
      <c r="G446" s="21" t="s">
        <v>723</v>
      </c>
      <c r="H446" s="2" t="str">
        <f>IF(G446="","",IF(G446="EKSPLORASI","EXP-"&amp;TEXT(COUNTIF($G$3:G446,G446),"000"),IF(G446="HSE","HSE-"&amp;TEXT(COUNTIF($G$3:G446,G446),"000"),IF(G446="QAQC","QAQC-"&amp;TEXT(COUNTIF($G$3:G446,G446),"000"),IF(G446="HCGA","HCGA-"&amp;TEXT(COUNTIF($G$3:G446,G446),"000"),IF(G446="MAINTENANCE","MNT-"&amp;TEXT(COUNTIF($G$3:G446,G446),"000"),IF(G446="CIVIL","CIV-"&amp;TEXT(COUNTIF($G$3:G446,G446),"000"),IF(G446="GANIS","GAN-"&amp;TEXT(COUNTIF($G$3:G446,G446),"000"),IF(G446="ENGINEERING","ENG-"&amp;TEXT(COUNTIF($G$3:G446,G446),"000"),IF(G446="PRODUKSI","PRO-"&amp;TEXT(COUNTIF($G$3:G446,G446),"000"),IF(G446="SURVEY","SUR-"&amp;TEXT(COUNTIF($G$3:G446,G446),"000"),"")))))))))))</f>
        <v>HSE-056</v>
      </c>
      <c r="I446" s="3"/>
      <c r="J446" s="3"/>
    </row>
    <row r="447" spans="2:10" ht="15.5">
      <c r="B447" s="4" t="s">
        <v>864</v>
      </c>
      <c r="C447" s="16" t="s">
        <v>820</v>
      </c>
      <c r="D447" s="46"/>
      <c r="E447" s="40" t="s">
        <v>14</v>
      </c>
      <c r="F447" s="32"/>
      <c r="G447" s="21" t="s">
        <v>723</v>
      </c>
      <c r="H447" s="2" t="str">
        <f>IF(G447="","",IF(G447="EKSPLORASI","EXP-"&amp;TEXT(COUNTIF($G$3:G447,G447),"000"),IF(G447="HSE","HSE-"&amp;TEXT(COUNTIF($G$3:G447,G447),"000"),IF(G447="QAQC","QAQC-"&amp;TEXT(COUNTIF($G$3:G447,G447),"000"),IF(G447="HCGA","HCGA-"&amp;TEXT(COUNTIF($G$3:G447,G447),"000"),IF(G447="MAINTENANCE","MNT-"&amp;TEXT(COUNTIF($G$3:G447,G447),"000"),IF(G447="CIVIL","CIV-"&amp;TEXT(COUNTIF($G$3:G447,G447),"000"),IF(G447="GANIS","GAN-"&amp;TEXT(COUNTIF($G$3:G447,G447),"000"),IF(G447="ENGINEERING","ENG-"&amp;TEXT(COUNTIF($G$3:G447,G447),"000"),IF(G447="PRODUKSI","PRO-"&amp;TEXT(COUNTIF($G$3:G447,G447),"000"),IF(G447="SURVEY","SUR-"&amp;TEXT(COUNTIF($G$3:G447,G447),"000"),"")))))))))))</f>
        <v>HSE-057</v>
      </c>
      <c r="I447" s="3"/>
      <c r="J447" s="3"/>
    </row>
    <row r="448" spans="2:10" ht="15.5">
      <c r="B448" s="4" t="s">
        <v>865</v>
      </c>
      <c r="C448" s="16" t="s">
        <v>822</v>
      </c>
      <c r="D448" s="46"/>
      <c r="E448" s="40" t="s">
        <v>14</v>
      </c>
      <c r="F448" s="32"/>
      <c r="G448" s="21" t="s">
        <v>723</v>
      </c>
      <c r="H448" s="2" t="str">
        <f>IF(G448="","",IF(G448="EKSPLORASI","EXP-"&amp;TEXT(COUNTIF($G$3:G448,G448),"000"),IF(G448="HSE","HSE-"&amp;TEXT(COUNTIF($G$3:G448,G448),"000"),IF(G448="QAQC","QAQC-"&amp;TEXT(COUNTIF($G$3:G448,G448),"000"),IF(G448="HCGA","HCGA-"&amp;TEXT(COUNTIF($G$3:G448,G448),"000"),IF(G448="MAINTENANCE","MNT-"&amp;TEXT(COUNTIF($G$3:G448,G448),"000"),IF(G448="CIVIL","CIV-"&amp;TEXT(COUNTIF($G$3:G448,G448),"000"),IF(G448="GANIS","GAN-"&amp;TEXT(COUNTIF($G$3:G448,G448),"000"),IF(G448="ENGINEERING","ENG-"&amp;TEXT(COUNTIF($G$3:G448,G448),"000"),IF(G448="PRODUKSI","PRO-"&amp;TEXT(COUNTIF($G$3:G448,G448),"000"),IF(G448="SURVEY","SUR-"&amp;TEXT(COUNTIF($G$3:G448,G448),"000"),"")))))))))))</f>
        <v>HSE-058</v>
      </c>
      <c r="I448" s="3"/>
      <c r="J448" s="3"/>
    </row>
    <row r="449" spans="2:10" ht="15.5">
      <c r="B449" s="4" t="s">
        <v>867</v>
      </c>
      <c r="C449" s="16" t="s">
        <v>824</v>
      </c>
      <c r="D449" s="46"/>
      <c r="E449" s="40" t="s">
        <v>43</v>
      </c>
      <c r="F449" s="32"/>
      <c r="G449" s="21" t="s">
        <v>723</v>
      </c>
      <c r="H449" s="2" t="str">
        <f>IF(G449="","",IF(G449="EKSPLORASI","EXP-"&amp;TEXT(COUNTIF($G$3:G449,G449),"000"),IF(G449="HSE","HSE-"&amp;TEXT(COUNTIF($G$3:G449,G449),"000"),IF(G449="QAQC","QAQC-"&amp;TEXT(COUNTIF($G$3:G449,G449),"000"),IF(G449="HCGA","HCGA-"&amp;TEXT(COUNTIF($G$3:G449,G449),"000"),IF(G449="MAINTENANCE","MNT-"&amp;TEXT(COUNTIF($G$3:G449,G449),"000"),IF(G449="CIVIL","CIV-"&amp;TEXT(COUNTIF($G$3:G449,G449),"000"),IF(G449="GANIS","GAN-"&amp;TEXT(COUNTIF($G$3:G449,G449),"000"),IF(G449="ENGINEERING","ENG-"&amp;TEXT(COUNTIF($G$3:G449,G449),"000"),IF(G449="PRODUKSI","PRO-"&amp;TEXT(COUNTIF($G$3:G449,G449),"000"),IF(G449="SURVEY","SUR-"&amp;TEXT(COUNTIF($G$3:G449,G449),"000"),"")))))))))))</f>
        <v>HSE-059</v>
      </c>
      <c r="I449" s="3"/>
      <c r="J449" s="3"/>
    </row>
    <row r="450" spans="2:10" ht="15.5">
      <c r="B450" s="4" t="s">
        <v>869</v>
      </c>
      <c r="C450" s="16" t="s">
        <v>275</v>
      </c>
      <c r="D450" s="46">
        <v>15000</v>
      </c>
      <c r="E450" s="40" t="s">
        <v>14</v>
      </c>
      <c r="F450" s="39" t="s">
        <v>1085</v>
      </c>
      <c r="G450" s="21" t="s">
        <v>723</v>
      </c>
      <c r="H450" s="2" t="str">
        <f>IF(G450="","",IF(G450="EKSPLORASI","EXP-"&amp;TEXT(COUNTIF($G$3:G450,G450),"000"),IF(G450="HSE","HSE-"&amp;TEXT(COUNTIF($G$3:G450,G450),"000"),IF(G450="QAQC","QAQC-"&amp;TEXT(COUNTIF($G$3:G450,G450),"000"),IF(G450="HCGA","HCGA-"&amp;TEXT(COUNTIF($G$3:G450,G450),"000"),IF(G450="MAINTENANCE","MNT-"&amp;TEXT(COUNTIF($G$3:G450,G450),"000"),IF(G450="CIVIL","CIV-"&amp;TEXT(COUNTIF($G$3:G450,G450),"000"),IF(G450="GANIS","GAN-"&amp;TEXT(COUNTIF($G$3:G450,G450),"000"),IF(G450="ENGINEERING","ENG-"&amp;TEXT(COUNTIF($G$3:G450,G450),"000"),IF(G450="PRODUKSI","PRO-"&amp;TEXT(COUNTIF($G$3:G450,G450),"000"),IF(G450="SURVEY","SUR-"&amp;TEXT(COUNTIF($G$3:G450,G450),"000"),"")))))))))))</f>
        <v>HSE-060</v>
      </c>
      <c r="I450" s="3"/>
      <c r="J450" s="3"/>
    </row>
    <row r="451" spans="2:10" ht="15.5">
      <c r="B451" s="4" t="s">
        <v>871</v>
      </c>
      <c r="C451" s="16" t="s">
        <v>381</v>
      </c>
      <c r="D451" s="46"/>
      <c r="E451" s="40" t="s">
        <v>512</v>
      </c>
      <c r="F451" s="32"/>
      <c r="G451" s="21" t="s">
        <v>723</v>
      </c>
      <c r="H451" s="2" t="str">
        <f>IF(G451="","",IF(G451="EKSPLORASI","EXP-"&amp;TEXT(COUNTIF($G$3:G451,G451),"000"),IF(G451="HSE","HSE-"&amp;TEXT(COUNTIF($G$3:G451,G451),"000"),IF(G451="QAQC","QAQC-"&amp;TEXT(COUNTIF($G$3:G451,G451),"000"),IF(G451="HCGA","HCGA-"&amp;TEXT(COUNTIF($G$3:G451,G451),"000"),IF(G451="MAINTENANCE","MNT-"&amp;TEXT(COUNTIF($G$3:G451,G451),"000"),IF(G451="CIVIL","CIV-"&amp;TEXT(COUNTIF($G$3:G451,G451),"000"),IF(G451="GANIS","GAN-"&amp;TEXT(COUNTIF($G$3:G451,G451),"000"),IF(G451="ENGINEERING","ENG-"&amp;TEXT(COUNTIF($G$3:G451,G451),"000"),IF(G451="PRODUKSI","PRO-"&amp;TEXT(COUNTIF($G$3:G451,G451),"000"),IF(G451="SURVEY","SUR-"&amp;TEXT(COUNTIF($G$3:G451,G451),"000"),"")))))))))))</f>
        <v>HSE-061</v>
      </c>
      <c r="I451" s="3"/>
      <c r="J451" s="3"/>
    </row>
    <row r="452" spans="2:10" ht="15.5">
      <c r="B452" s="4" t="s">
        <v>873</v>
      </c>
      <c r="C452" s="16" t="s">
        <v>828</v>
      </c>
      <c r="D452" s="46"/>
      <c r="E452" s="40" t="s">
        <v>14</v>
      </c>
      <c r="F452" s="32"/>
      <c r="G452" s="21" t="s">
        <v>723</v>
      </c>
      <c r="H452" s="2" t="str">
        <f>IF(G452="","",IF(G452="EKSPLORASI","EXP-"&amp;TEXT(COUNTIF($G$3:G452,G452),"000"),IF(G452="HSE","HSE-"&amp;TEXT(COUNTIF($G$3:G452,G452),"000"),IF(G452="QAQC","QAQC-"&amp;TEXT(COUNTIF($G$3:G452,G452),"000"),IF(G452="HCGA","HCGA-"&amp;TEXT(COUNTIF($G$3:G452,G452),"000"),IF(G452="MAINTENANCE","MNT-"&amp;TEXT(COUNTIF($G$3:G452,G452),"000"),IF(G452="CIVIL","CIV-"&amp;TEXT(COUNTIF($G$3:G452,G452),"000"),IF(G452="GANIS","GAN-"&amp;TEXT(COUNTIF($G$3:G452,G452),"000"),IF(G452="ENGINEERING","ENG-"&amp;TEXT(COUNTIF($G$3:G452,G452),"000"),IF(G452="PRODUKSI","PRO-"&amp;TEXT(COUNTIF($G$3:G452,G452),"000"),IF(G452="SURVEY","SUR-"&amp;TEXT(COUNTIF($G$3:G452,G452),"000"),"")))))))))))</f>
        <v>HSE-062</v>
      </c>
      <c r="I452" s="3"/>
      <c r="J452" s="3"/>
    </row>
    <row r="453" spans="2:10" ht="15.5">
      <c r="B453" s="4" t="s">
        <v>875</v>
      </c>
      <c r="C453" s="16" t="s">
        <v>830</v>
      </c>
      <c r="D453" s="46"/>
      <c r="E453" s="40" t="s">
        <v>14</v>
      </c>
      <c r="F453" s="32"/>
      <c r="G453" s="21" t="s">
        <v>723</v>
      </c>
      <c r="H453" s="2" t="str">
        <f>IF(G453="","",IF(G453="EKSPLORASI","EXP-"&amp;TEXT(COUNTIF($G$3:G453,G453),"000"),IF(G453="HSE","HSE-"&amp;TEXT(COUNTIF($G$3:G453,G453),"000"),IF(G453="QAQC","QAQC-"&amp;TEXT(COUNTIF($G$3:G453,G453),"000"),IF(G453="HCGA","HCGA-"&amp;TEXT(COUNTIF($G$3:G453,G453),"000"),IF(G453="MAINTENANCE","MNT-"&amp;TEXT(COUNTIF($G$3:G453,G453),"000"),IF(G453="CIVIL","CIV-"&amp;TEXT(COUNTIF($G$3:G453,G453),"000"),IF(G453="GANIS","GAN-"&amp;TEXT(COUNTIF($G$3:G453,G453),"000"),IF(G453="ENGINEERING","ENG-"&amp;TEXT(COUNTIF($G$3:G453,G453),"000"),IF(G453="PRODUKSI","PRO-"&amp;TEXT(COUNTIF($G$3:G453,G453),"000"),IF(G453="SURVEY","SUR-"&amp;TEXT(COUNTIF($G$3:G453,G453),"000"),"")))))))))))</f>
        <v>HSE-063</v>
      </c>
      <c r="I453" s="3"/>
      <c r="J453" s="3"/>
    </row>
    <row r="454" spans="2:10" ht="15.5">
      <c r="B454" s="4" t="s">
        <v>876</v>
      </c>
      <c r="C454" s="16" t="s">
        <v>832</v>
      </c>
      <c r="D454" s="46">
        <v>50000</v>
      </c>
      <c r="E454" s="40" t="s">
        <v>14</v>
      </c>
      <c r="F454" s="32"/>
      <c r="G454" s="21" t="s">
        <v>723</v>
      </c>
      <c r="H454" s="2" t="str">
        <f>IF(G454="","",IF(G454="EKSPLORASI","EXP-"&amp;TEXT(COUNTIF($G$3:G454,G454),"000"),IF(G454="HSE","HSE-"&amp;TEXT(COUNTIF($G$3:G454,G454),"000"),IF(G454="QAQC","QAQC-"&amp;TEXT(COUNTIF($G$3:G454,G454),"000"),IF(G454="HCGA","HCGA-"&amp;TEXT(COUNTIF($G$3:G454,G454),"000"),IF(G454="MAINTENANCE","MNT-"&amp;TEXT(COUNTIF($G$3:G454,G454),"000"),IF(G454="CIVIL","CIV-"&amp;TEXT(COUNTIF($G$3:G454,G454),"000"),IF(G454="GANIS","GAN-"&amp;TEXT(COUNTIF($G$3:G454,G454),"000"),IF(G454="ENGINEERING","ENG-"&amp;TEXT(COUNTIF($G$3:G454,G454),"000"),IF(G454="PRODUKSI","PRO-"&amp;TEXT(COUNTIF($G$3:G454,G454),"000"),IF(G454="SURVEY","SUR-"&amp;TEXT(COUNTIF($G$3:G454,G454),"000"),"")))))))))))</f>
        <v>HSE-064</v>
      </c>
      <c r="I454" s="3"/>
      <c r="J454" s="3"/>
    </row>
    <row r="455" spans="2:10" ht="15.5">
      <c r="B455" s="4" t="s">
        <v>878</v>
      </c>
      <c r="C455" s="16" t="s">
        <v>834</v>
      </c>
      <c r="D455" s="46"/>
      <c r="E455" s="40" t="s">
        <v>14</v>
      </c>
      <c r="F455" s="32"/>
      <c r="G455" s="21" t="s">
        <v>723</v>
      </c>
      <c r="H455" s="2" t="str">
        <f>IF(G455="","",IF(G455="EKSPLORASI","EXP-"&amp;TEXT(COUNTIF($G$3:G455,G455),"000"),IF(G455="HSE","HSE-"&amp;TEXT(COUNTIF($G$3:G455,G455),"000"),IF(G455="QAQC","QAQC-"&amp;TEXT(COUNTIF($G$3:G455,G455),"000"),IF(G455="HCGA","HCGA-"&amp;TEXT(COUNTIF($G$3:G455,G455),"000"),IF(G455="MAINTENANCE","MNT-"&amp;TEXT(COUNTIF($G$3:G455,G455),"000"),IF(G455="CIVIL","CIV-"&amp;TEXT(COUNTIF($G$3:G455,G455),"000"),IF(G455="GANIS","GAN-"&amp;TEXT(COUNTIF($G$3:G455,G455),"000"),IF(G455="ENGINEERING","ENG-"&amp;TEXT(COUNTIF($G$3:G455,G455),"000"),IF(G455="PRODUKSI","PRO-"&amp;TEXT(COUNTIF($G$3:G455,G455),"000"),IF(G455="SURVEY","SUR-"&amp;TEXT(COUNTIF($G$3:G455,G455),"000"),"")))))))))))</f>
        <v>HSE-065</v>
      </c>
      <c r="I455" s="3"/>
      <c r="J455" s="3"/>
    </row>
    <row r="456" spans="2:10" ht="15.5">
      <c r="B456" s="4" t="s">
        <v>880</v>
      </c>
      <c r="C456" s="16" t="s">
        <v>177</v>
      </c>
      <c r="D456" s="46"/>
      <c r="E456" s="40" t="s">
        <v>14</v>
      </c>
      <c r="F456" s="32"/>
      <c r="G456" s="21" t="s">
        <v>723</v>
      </c>
      <c r="H456" s="2" t="str">
        <f>IF(G456="","",IF(G456="EKSPLORASI","EXP-"&amp;TEXT(COUNTIF($G$3:G456,G456),"000"),IF(G456="HSE","HSE-"&amp;TEXT(COUNTIF($G$3:G456,G456),"000"),IF(G456="QAQC","QAQC-"&amp;TEXT(COUNTIF($G$3:G456,G456),"000"),IF(G456="HCGA","HCGA-"&amp;TEXT(COUNTIF($G$3:G456,G456),"000"),IF(G456="MAINTENANCE","MNT-"&amp;TEXT(COUNTIF($G$3:G456,G456),"000"),IF(G456="CIVIL","CIV-"&amp;TEXT(COUNTIF($G$3:G456,G456),"000"),IF(G456="GANIS","GAN-"&amp;TEXT(COUNTIF($G$3:G456,G456),"000"),IF(G456="ENGINEERING","ENG-"&amp;TEXT(COUNTIF($G$3:G456,G456),"000"),IF(G456="PRODUKSI","PRO-"&amp;TEXT(COUNTIF($G$3:G456,G456),"000"),IF(G456="SURVEY","SUR-"&amp;TEXT(COUNTIF($G$3:G456,G456),"000"),"")))))))))))</f>
        <v>HSE-066</v>
      </c>
      <c r="I456" s="3"/>
      <c r="J456" s="3"/>
    </row>
    <row r="457" spans="2:10" ht="15.5">
      <c r="B457" s="4" t="s">
        <v>882</v>
      </c>
      <c r="C457" s="16" t="s">
        <v>837</v>
      </c>
      <c r="D457" s="46">
        <v>10000</v>
      </c>
      <c r="E457" s="40" t="s">
        <v>14</v>
      </c>
      <c r="F457" s="32"/>
      <c r="G457" s="21" t="s">
        <v>723</v>
      </c>
      <c r="H457" s="2" t="str">
        <f>IF(G457="","",IF(G457="EKSPLORASI","EXP-"&amp;TEXT(COUNTIF($G$3:G457,G457),"000"),IF(G457="HSE","HSE-"&amp;TEXT(COUNTIF($G$3:G457,G457),"000"),IF(G457="QAQC","QAQC-"&amp;TEXT(COUNTIF($G$3:G457,G457),"000"),IF(G457="HCGA","HCGA-"&amp;TEXT(COUNTIF($G$3:G457,G457),"000"),IF(G457="MAINTENANCE","MNT-"&amp;TEXT(COUNTIF($G$3:G457,G457),"000"),IF(G457="CIVIL","CIV-"&amp;TEXT(COUNTIF($G$3:G457,G457),"000"),IF(G457="GANIS","GAN-"&amp;TEXT(COUNTIF($G$3:G457,G457),"000"),IF(G457="ENGINEERING","ENG-"&amp;TEXT(COUNTIF($G$3:G457,G457),"000"),IF(G457="PRODUKSI","PRO-"&amp;TEXT(COUNTIF($G$3:G457,G457),"000"),IF(G457="SURVEY","SUR-"&amp;TEXT(COUNTIF($G$3:G457,G457),"000"),"")))))))))))</f>
        <v>HSE-067</v>
      </c>
      <c r="I457" s="3"/>
      <c r="J457" s="3"/>
    </row>
    <row r="458" spans="2:10" ht="15.5">
      <c r="B458" s="4" t="s">
        <v>884</v>
      </c>
      <c r="C458" s="16" t="s">
        <v>839</v>
      </c>
      <c r="D458" s="46"/>
      <c r="E458" s="40" t="s">
        <v>43</v>
      </c>
      <c r="F458" s="32"/>
      <c r="G458" s="21" t="s">
        <v>723</v>
      </c>
      <c r="H458" s="2" t="str">
        <f>IF(G458="","",IF(G458="EKSPLORASI","EXP-"&amp;TEXT(COUNTIF($G$3:G458,G458),"000"),IF(G458="HSE","HSE-"&amp;TEXT(COUNTIF($G$3:G458,G458),"000"),IF(G458="QAQC","QAQC-"&amp;TEXT(COUNTIF($G$3:G458,G458),"000"),IF(G458="HCGA","HCGA-"&amp;TEXT(COUNTIF($G$3:G458,G458),"000"),IF(G458="MAINTENANCE","MNT-"&amp;TEXT(COUNTIF($G$3:G458,G458),"000"),IF(G458="CIVIL","CIV-"&amp;TEXT(COUNTIF($G$3:G458,G458),"000"),IF(G458="GANIS","GAN-"&amp;TEXT(COUNTIF($G$3:G458,G458),"000"),IF(G458="ENGINEERING","ENG-"&amp;TEXT(COUNTIF($G$3:G458,G458),"000"),IF(G458="PRODUKSI","PRO-"&amp;TEXT(COUNTIF($G$3:G458,G458),"000"),IF(G458="SURVEY","SUR-"&amp;TEXT(COUNTIF($G$3:G458,G458),"000"),"")))))))))))</f>
        <v>HSE-068</v>
      </c>
      <c r="I458" s="3"/>
      <c r="J458" s="3"/>
    </row>
    <row r="459" spans="2:10" ht="15.5">
      <c r="B459" s="4" t="s">
        <v>886</v>
      </c>
      <c r="C459" s="16" t="s">
        <v>841</v>
      </c>
      <c r="D459" s="46"/>
      <c r="E459" s="40" t="s">
        <v>842</v>
      </c>
      <c r="F459" s="32"/>
      <c r="G459" s="21" t="s">
        <v>723</v>
      </c>
      <c r="H459" s="2" t="str">
        <f>IF(G459="","",IF(G459="EKSPLORASI","EXP-"&amp;TEXT(COUNTIF($G$3:G459,G459),"000"),IF(G459="HSE","HSE-"&amp;TEXT(COUNTIF($G$3:G459,G459),"000"),IF(G459="QAQC","QAQC-"&amp;TEXT(COUNTIF($G$3:G459,G459),"000"),IF(G459="HCGA","HCGA-"&amp;TEXT(COUNTIF($G$3:G459,G459),"000"),IF(G459="MAINTENANCE","MNT-"&amp;TEXT(COUNTIF($G$3:G459,G459),"000"),IF(G459="CIVIL","CIV-"&amp;TEXT(COUNTIF($G$3:G459,G459),"000"),IF(G459="GANIS","GAN-"&amp;TEXT(COUNTIF($G$3:G459,G459),"000"),IF(G459="ENGINEERING","ENG-"&amp;TEXT(COUNTIF($G$3:G459,G459),"000"),IF(G459="PRODUKSI","PRO-"&amp;TEXT(COUNTIF($G$3:G459,G459),"000"),IF(G459="SURVEY","SUR-"&amp;TEXT(COUNTIF($G$3:G459,G459),"000"),"")))))))))))</f>
        <v>HSE-069</v>
      </c>
      <c r="I459" s="3"/>
      <c r="J459" s="3"/>
    </row>
    <row r="460" spans="2:10" ht="15.5">
      <c r="B460" s="4" t="s">
        <v>888</v>
      </c>
      <c r="C460" s="16" t="s">
        <v>844</v>
      </c>
      <c r="D460" s="46"/>
      <c r="E460" s="40" t="s">
        <v>842</v>
      </c>
      <c r="F460" s="32"/>
      <c r="G460" s="21" t="s">
        <v>723</v>
      </c>
      <c r="H460" s="2" t="str">
        <f>IF(G460="","",IF(G460="EKSPLORASI","EXP-"&amp;TEXT(COUNTIF($G$3:G460,G460),"000"),IF(G460="HSE","HSE-"&amp;TEXT(COUNTIF($G$3:G460,G460),"000"),IF(G460="QAQC","QAQC-"&amp;TEXT(COUNTIF($G$3:G460,G460),"000"),IF(G460="HCGA","HCGA-"&amp;TEXT(COUNTIF($G$3:G460,G460),"000"),IF(G460="MAINTENANCE","MNT-"&amp;TEXT(COUNTIF($G$3:G460,G460),"000"),IF(G460="CIVIL","CIV-"&amp;TEXT(COUNTIF($G$3:G460,G460),"000"),IF(G460="GANIS","GAN-"&amp;TEXT(COUNTIF($G$3:G460,G460),"000"),IF(G460="ENGINEERING","ENG-"&amp;TEXT(COUNTIF($G$3:G460,G460),"000"),IF(G460="PRODUKSI","PRO-"&amp;TEXT(COUNTIF($G$3:G460,G460),"000"),IF(G460="SURVEY","SUR-"&amp;TEXT(COUNTIF($G$3:G460,G460),"000"),"")))))))))))</f>
        <v>HSE-070</v>
      </c>
      <c r="I460" s="3"/>
      <c r="J460" s="3"/>
    </row>
    <row r="461" spans="2:10" ht="15.5">
      <c r="B461" s="4" t="s">
        <v>890</v>
      </c>
      <c r="C461" s="16" t="s">
        <v>846</v>
      </c>
      <c r="D461" s="46"/>
      <c r="E461" s="40" t="s">
        <v>842</v>
      </c>
      <c r="F461" s="32"/>
      <c r="G461" s="21" t="s">
        <v>723</v>
      </c>
      <c r="H461" s="2" t="str">
        <f>IF(G461="","",IF(G461="EKSPLORASI","EXP-"&amp;TEXT(COUNTIF($G$3:G461,G461),"000"),IF(G461="HSE","HSE-"&amp;TEXT(COUNTIF($G$3:G461,G461),"000"),IF(G461="QAQC","QAQC-"&amp;TEXT(COUNTIF($G$3:G461,G461),"000"),IF(G461="HCGA","HCGA-"&amp;TEXT(COUNTIF($G$3:G461,G461),"000"),IF(G461="MAINTENANCE","MNT-"&amp;TEXT(COUNTIF($G$3:G461,G461),"000"),IF(G461="CIVIL","CIV-"&amp;TEXT(COUNTIF($G$3:G461,G461),"000"),IF(G461="GANIS","GAN-"&amp;TEXT(COUNTIF($G$3:G461,G461),"000"),IF(G461="ENGINEERING","ENG-"&amp;TEXT(COUNTIF($G$3:G461,G461),"000"),IF(G461="PRODUKSI","PRO-"&amp;TEXT(COUNTIF($G$3:G461,G461),"000"),IF(G461="SURVEY","SUR-"&amp;TEXT(COUNTIF($G$3:G461,G461),"000"),"")))))))))))</f>
        <v>HSE-071</v>
      </c>
      <c r="I461" s="3"/>
      <c r="J461" s="3"/>
    </row>
    <row r="462" spans="2:10" ht="15.5">
      <c r="B462" s="4" t="s">
        <v>892</v>
      </c>
      <c r="C462" s="11" t="s">
        <v>848</v>
      </c>
      <c r="D462" s="46"/>
      <c r="E462" s="40" t="s">
        <v>132</v>
      </c>
      <c r="F462" s="32"/>
      <c r="G462" s="21" t="s">
        <v>723</v>
      </c>
      <c r="H462" s="2" t="str">
        <f>IF(G462="","",IF(G462="EKSPLORASI","EXP-"&amp;TEXT(COUNTIF($G$3:G462,G462),"000"),IF(G462="HSE","HSE-"&amp;TEXT(COUNTIF($G$3:G462,G462),"000"),IF(G462="QAQC","QAQC-"&amp;TEXT(COUNTIF($G$3:G462,G462),"000"),IF(G462="HCGA","HCGA-"&amp;TEXT(COUNTIF($G$3:G462,G462),"000"),IF(G462="MAINTENANCE","MNT-"&amp;TEXT(COUNTIF($G$3:G462,G462),"000"),IF(G462="CIVIL","CIV-"&amp;TEXT(COUNTIF($G$3:G462,G462),"000"),IF(G462="GANIS","GAN-"&amp;TEXT(COUNTIF($G$3:G462,G462),"000"),IF(G462="ENGINEERING","ENG-"&amp;TEXT(COUNTIF($G$3:G462,G462),"000"),IF(G462="PRODUKSI","PRO-"&amp;TEXT(COUNTIF($G$3:G462,G462),"000"),IF(G462="SURVEY","SUR-"&amp;TEXT(COUNTIF($G$3:G462,G462),"000"),"")))))))))))</f>
        <v>HSE-072</v>
      </c>
      <c r="I462" s="3"/>
      <c r="J462" s="3"/>
    </row>
    <row r="463" spans="2:10" ht="15.5">
      <c r="B463" s="4" t="s">
        <v>894</v>
      </c>
      <c r="C463" s="16" t="s">
        <v>482</v>
      </c>
      <c r="D463" s="46"/>
      <c r="E463" s="40" t="s">
        <v>14</v>
      </c>
      <c r="F463" s="32"/>
      <c r="G463" s="21" t="s">
        <v>723</v>
      </c>
      <c r="H463" s="2" t="str">
        <f>IF(G463="","",IF(G463="EKSPLORASI","EXP-"&amp;TEXT(COUNTIF($G$3:G463,G463),"000"),IF(G463="HSE","HSE-"&amp;TEXT(COUNTIF($G$3:G463,G463),"000"),IF(G463="QAQC","QAQC-"&amp;TEXT(COUNTIF($G$3:G463,G463),"000"),IF(G463="HCGA","HCGA-"&amp;TEXT(COUNTIF($G$3:G463,G463),"000"),IF(G463="MAINTENANCE","MNT-"&amp;TEXT(COUNTIF($G$3:G463,G463),"000"),IF(G463="CIVIL","CIV-"&amp;TEXT(COUNTIF($G$3:G463,G463),"000"),IF(G463="GANIS","GAN-"&amp;TEXT(COUNTIF($G$3:G463,G463),"000"),IF(G463="ENGINEERING","ENG-"&amp;TEXT(COUNTIF($G$3:G463,G463),"000"),IF(G463="PRODUKSI","PRO-"&amp;TEXT(COUNTIF($G$3:G463,G463),"000"),IF(G463="SURVEY","SUR-"&amp;TEXT(COUNTIF($G$3:G463,G463),"000"),"")))))))))))</f>
        <v>HSE-073</v>
      </c>
      <c r="I463" s="3"/>
      <c r="J463" s="3"/>
    </row>
    <row r="464" spans="2:10" ht="15.5">
      <c r="B464" s="4" t="s">
        <v>896</v>
      </c>
      <c r="C464" s="16" t="s">
        <v>851</v>
      </c>
      <c r="D464" s="46"/>
      <c r="E464" s="40" t="s">
        <v>842</v>
      </c>
      <c r="F464" s="32"/>
      <c r="G464" s="21" t="s">
        <v>723</v>
      </c>
      <c r="H464" s="2" t="str">
        <f>IF(G464="","",IF(G464="EKSPLORASI","EXP-"&amp;TEXT(COUNTIF($G$3:G464,G464),"000"),IF(G464="HSE","HSE-"&amp;TEXT(COUNTIF($G$3:G464,G464),"000"),IF(G464="QAQC","QAQC-"&amp;TEXT(COUNTIF($G$3:G464,G464),"000"),IF(G464="HCGA","HCGA-"&amp;TEXT(COUNTIF($G$3:G464,G464),"000"),IF(G464="MAINTENANCE","MNT-"&amp;TEXT(COUNTIF($G$3:G464,G464),"000"),IF(G464="CIVIL","CIV-"&amp;TEXT(COUNTIF($G$3:G464,G464),"000"),IF(G464="GANIS","GAN-"&amp;TEXT(COUNTIF($G$3:G464,G464),"000"),IF(G464="ENGINEERING","ENG-"&amp;TEXT(COUNTIF($G$3:G464,G464),"000"),IF(G464="PRODUKSI","PRO-"&amp;TEXT(COUNTIF($G$3:G464,G464),"000"),IF(G464="SURVEY","SUR-"&amp;TEXT(COUNTIF($G$3:G464,G464),"000"),"")))))))))))</f>
        <v>HSE-074</v>
      </c>
      <c r="I464" s="3"/>
      <c r="J464" s="3"/>
    </row>
    <row r="465" spans="2:10" ht="15.5">
      <c r="B465" s="4" t="s">
        <v>898</v>
      </c>
      <c r="C465" s="16" t="s">
        <v>853</v>
      </c>
      <c r="D465" s="46"/>
      <c r="E465" s="40" t="s">
        <v>14</v>
      </c>
      <c r="F465" s="32"/>
      <c r="G465" s="21" t="s">
        <v>723</v>
      </c>
      <c r="H465" s="2" t="str">
        <f>IF(G465="","",IF(G465="EKSPLORASI","EXP-"&amp;TEXT(COUNTIF($G$3:G465,G465),"000"),IF(G465="HSE","HSE-"&amp;TEXT(COUNTIF($G$3:G465,G465),"000"),IF(G465="QAQC","QAQC-"&amp;TEXT(COUNTIF($G$3:G465,G465),"000"),IF(G465="HCGA","HCGA-"&amp;TEXT(COUNTIF($G$3:G465,G465),"000"),IF(G465="MAINTENANCE","MNT-"&amp;TEXT(COUNTIF($G$3:G465,G465),"000"),IF(G465="CIVIL","CIV-"&amp;TEXT(COUNTIF($G$3:G465,G465),"000"),IF(G465="GANIS","GAN-"&amp;TEXT(COUNTIF($G$3:G465,G465),"000"),IF(G465="ENGINEERING","ENG-"&amp;TEXT(COUNTIF($G$3:G465,G465),"000"),IF(G465="PRODUKSI","PRO-"&amp;TEXT(COUNTIF($G$3:G465,G465),"000"),IF(G465="SURVEY","SUR-"&amp;TEXT(COUNTIF($G$3:G465,G465),"000"),"")))))))))))</f>
        <v>HSE-075</v>
      </c>
      <c r="I465" s="3"/>
      <c r="J465" s="3"/>
    </row>
    <row r="466" spans="2:10" ht="15.5">
      <c r="B466" s="4" t="s">
        <v>899</v>
      </c>
      <c r="C466" s="16" t="s">
        <v>855</v>
      </c>
      <c r="D466" s="46"/>
      <c r="E466" s="40" t="s">
        <v>14</v>
      </c>
      <c r="F466" s="32"/>
      <c r="G466" s="21" t="s">
        <v>723</v>
      </c>
      <c r="H466" s="2" t="str">
        <f>IF(G466="","",IF(G466="EKSPLORASI","EXP-"&amp;TEXT(COUNTIF($G$3:G466,G466),"000"),IF(G466="HSE","HSE-"&amp;TEXT(COUNTIF($G$3:G466,G466),"000"),IF(G466="QAQC","QAQC-"&amp;TEXT(COUNTIF($G$3:G466,G466),"000"),IF(G466="HCGA","HCGA-"&amp;TEXT(COUNTIF($G$3:G466,G466),"000"),IF(G466="MAINTENANCE","MNT-"&amp;TEXT(COUNTIF($G$3:G466,G466),"000"),IF(G466="CIVIL","CIV-"&amp;TEXT(COUNTIF($G$3:G466,G466),"000"),IF(G466="GANIS","GAN-"&amp;TEXT(COUNTIF($G$3:G466,G466),"000"),IF(G466="ENGINEERING","ENG-"&amp;TEXT(COUNTIF($G$3:G466,G466),"000"),IF(G466="PRODUKSI","PRO-"&amp;TEXT(COUNTIF($G$3:G466,G466),"000"),IF(G466="SURVEY","SUR-"&amp;TEXT(COUNTIF($G$3:G466,G466),"000"),"")))))))))))</f>
        <v>HSE-076</v>
      </c>
      <c r="I466" s="3"/>
      <c r="J466" s="3"/>
    </row>
    <row r="467" spans="2:10" ht="15.5">
      <c r="B467" s="4" t="s">
        <v>900</v>
      </c>
      <c r="C467" s="16" t="s">
        <v>857</v>
      </c>
      <c r="D467" s="46"/>
      <c r="E467" s="40" t="s">
        <v>79</v>
      </c>
      <c r="F467" s="32"/>
      <c r="G467" s="21" t="s">
        <v>723</v>
      </c>
      <c r="H467" s="2" t="str">
        <f>IF(G467="","",IF(G467="EKSPLORASI","EXP-"&amp;TEXT(COUNTIF($G$3:G467,G467),"000"),IF(G467="HSE","HSE-"&amp;TEXT(COUNTIF($G$3:G467,G467),"000"),IF(G467="QAQC","QAQC-"&amp;TEXT(COUNTIF($G$3:G467,G467),"000"),IF(G467="HCGA","HCGA-"&amp;TEXT(COUNTIF($G$3:G467,G467),"000"),IF(G467="MAINTENANCE","MNT-"&amp;TEXT(COUNTIF($G$3:G467,G467),"000"),IF(G467="CIVIL","CIV-"&amp;TEXT(COUNTIF($G$3:G467,G467),"000"),IF(G467="GANIS","GAN-"&amp;TEXT(COUNTIF($G$3:G467,G467),"000"),IF(G467="ENGINEERING","ENG-"&amp;TEXT(COUNTIF($G$3:G467,G467),"000"),IF(G467="PRODUKSI","PRO-"&amp;TEXT(COUNTIF($G$3:G467,G467),"000"),IF(G467="SURVEY","SUR-"&amp;TEXT(COUNTIF($G$3:G467,G467),"000"),"")))))))))))</f>
        <v>HSE-077</v>
      </c>
      <c r="I467" s="3"/>
      <c r="J467" s="3"/>
    </row>
    <row r="468" spans="2:10" ht="15.5">
      <c r="B468" s="4" t="s">
        <v>902</v>
      </c>
      <c r="C468" s="16" t="s">
        <v>859</v>
      </c>
      <c r="D468" s="46"/>
      <c r="E468" s="40" t="s">
        <v>14</v>
      </c>
      <c r="F468" s="32"/>
      <c r="G468" s="21" t="s">
        <v>723</v>
      </c>
      <c r="H468" s="2" t="str">
        <f>IF(G468="","",IF(G468="EKSPLORASI","EXP-"&amp;TEXT(COUNTIF($G$3:G468,G468),"000"),IF(G468="HSE","HSE-"&amp;TEXT(COUNTIF($G$3:G468,G468),"000"),IF(G468="QAQC","QAQC-"&amp;TEXT(COUNTIF($G$3:G468,G468),"000"),IF(G468="HCGA","HCGA-"&amp;TEXT(COUNTIF($G$3:G468,G468),"000"),IF(G468="MAINTENANCE","MNT-"&amp;TEXT(COUNTIF($G$3:G468,G468),"000"),IF(G468="CIVIL","CIV-"&amp;TEXT(COUNTIF($G$3:G468,G468),"000"),IF(G468="GANIS","GAN-"&amp;TEXT(COUNTIF($G$3:G468,G468),"000"),IF(G468="ENGINEERING","ENG-"&amp;TEXT(COUNTIF($G$3:G468,G468),"000"),IF(G468="PRODUKSI","PRO-"&amp;TEXT(COUNTIF($G$3:G468,G468),"000"),IF(G468="SURVEY","SUR-"&amp;TEXT(COUNTIF($G$3:G468,G468),"000"),"")))))))))))</f>
        <v>HSE-078</v>
      </c>
      <c r="I468" s="3"/>
      <c r="J468" s="3"/>
    </row>
    <row r="469" spans="2:10" ht="15.5">
      <c r="B469" s="4" t="s">
        <v>903</v>
      </c>
      <c r="C469" s="16" t="s">
        <v>33</v>
      </c>
      <c r="D469" s="46">
        <v>50000</v>
      </c>
      <c r="E469" s="40" t="s">
        <v>235</v>
      </c>
      <c r="F469" s="34" t="s">
        <v>1085</v>
      </c>
      <c r="G469" s="21" t="s">
        <v>723</v>
      </c>
      <c r="H469" s="2" t="str">
        <f>IF(G469="","",IF(G469="EKSPLORASI","EXP-"&amp;TEXT(COUNTIF($G$3:G469,G469),"000"),IF(G469="HSE","HSE-"&amp;TEXT(COUNTIF($G$3:G469,G469),"000"),IF(G469="QAQC","QAQC-"&amp;TEXT(COUNTIF($G$3:G469,G469),"000"),IF(G469="HCGA","HCGA-"&amp;TEXT(COUNTIF($G$3:G469,G469),"000"),IF(G469="MAINTENANCE","MNT-"&amp;TEXT(COUNTIF($G$3:G469,G469),"000"),IF(G469="CIVIL","CIV-"&amp;TEXT(COUNTIF($G$3:G469,G469),"000"),IF(G469="GANIS","GAN-"&amp;TEXT(COUNTIF($G$3:G469,G469),"000"),IF(G469="ENGINEERING","ENG-"&amp;TEXT(COUNTIF($G$3:G469,G469),"000"),IF(G469="PRODUKSI","PRO-"&amp;TEXT(COUNTIF($G$3:G469,G469),"000"),IF(G469="SURVEY","SUR-"&amp;TEXT(COUNTIF($G$3:G469,G469),"000"),"")))))))))))</f>
        <v>HSE-079</v>
      </c>
      <c r="I469" s="3"/>
      <c r="J469" s="3"/>
    </row>
    <row r="470" spans="2:10" ht="15.5">
      <c r="B470" s="4" t="s">
        <v>904</v>
      </c>
      <c r="C470" s="16" t="s">
        <v>862</v>
      </c>
      <c r="D470" s="46"/>
      <c r="E470" s="40" t="s">
        <v>863</v>
      </c>
      <c r="F470" s="32"/>
      <c r="G470" s="21" t="s">
        <v>723</v>
      </c>
      <c r="H470" s="2" t="str">
        <f>IF(G470="","",IF(G470="EKSPLORASI","EXP-"&amp;TEXT(COUNTIF($G$3:G470,G470),"000"),IF(G470="HSE","HSE-"&amp;TEXT(COUNTIF($G$3:G470,G470),"000"),IF(G470="QAQC","QAQC-"&amp;TEXT(COUNTIF($G$3:G470,G470),"000"),IF(G470="HCGA","HCGA-"&amp;TEXT(COUNTIF($G$3:G470,G470),"000"),IF(G470="MAINTENANCE","MNT-"&amp;TEXT(COUNTIF($G$3:G470,G470),"000"),IF(G470="CIVIL","CIV-"&amp;TEXT(COUNTIF($G$3:G470,G470),"000"),IF(G470="GANIS","GAN-"&amp;TEXT(COUNTIF($G$3:G470,G470),"000"),IF(G470="ENGINEERING","ENG-"&amp;TEXT(COUNTIF($G$3:G470,G470),"000"),IF(G470="PRODUKSI","PRO-"&amp;TEXT(COUNTIF($G$3:G470,G470),"000"),IF(G470="SURVEY","SUR-"&amp;TEXT(COUNTIF($G$3:G470,G470),"000"),"")))))))))))</f>
        <v>HSE-080</v>
      </c>
      <c r="I470" s="3"/>
      <c r="J470" s="3"/>
    </row>
    <row r="471" spans="2:10" ht="15.5">
      <c r="B471" s="4" t="s">
        <v>906</v>
      </c>
      <c r="C471" s="16" t="s">
        <v>506</v>
      </c>
      <c r="D471" s="46">
        <v>45000</v>
      </c>
      <c r="E471" s="40" t="s">
        <v>14</v>
      </c>
      <c r="F471" s="45" t="s">
        <v>1098</v>
      </c>
      <c r="G471" s="21" t="s">
        <v>723</v>
      </c>
      <c r="H471" s="2" t="str">
        <f>IF(G471="","",IF(G471="EKSPLORASI","EXP-"&amp;TEXT(COUNTIF($G$3:G471,G471),"000"),IF(G471="HSE","HSE-"&amp;TEXT(COUNTIF($G$3:G471,G471),"000"),IF(G471="QAQC","QAQC-"&amp;TEXT(COUNTIF($G$3:G471,G471),"000"),IF(G471="HCGA","HCGA-"&amp;TEXT(COUNTIF($G$3:G471,G471),"000"),IF(G471="MAINTENANCE","MNT-"&amp;TEXT(COUNTIF($G$3:G471,G471),"000"),IF(G471="CIVIL","CIV-"&amp;TEXT(COUNTIF($G$3:G471,G471),"000"),IF(G471="GANIS","GAN-"&amp;TEXT(COUNTIF($G$3:G471,G471),"000"),IF(G471="ENGINEERING","ENG-"&amp;TEXT(COUNTIF($G$3:G471,G471),"000"),IF(G471="PRODUKSI","PRO-"&amp;TEXT(COUNTIF($G$3:G471,G471),"000"),IF(G471="SURVEY","SUR-"&amp;TEXT(COUNTIF($G$3:G471,G471),"000"),"")))))))))))</f>
        <v>HSE-081</v>
      </c>
      <c r="I471" s="3"/>
      <c r="J471" s="3"/>
    </row>
    <row r="472" spans="2:10" ht="15.5">
      <c r="B472" s="4" t="s">
        <v>908</v>
      </c>
      <c r="C472" s="16" t="s">
        <v>866</v>
      </c>
      <c r="D472" s="46"/>
      <c r="E472" s="40" t="s">
        <v>43</v>
      </c>
      <c r="F472" s="32"/>
      <c r="G472" s="21" t="s">
        <v>723</v>
      </c>
      <c r="H472" s="2" t="str">
        <f>IF(G472="","",IF(G472="EKSPLORASI","EXP-"&amp;TEXT(COUNTIF($G$3:G472,G472),"000"),IF(G472="HSE","HSE-"&amp;TEXT(COUNTIF($G$3:G472,G472),"000"),IF(G472="QAQC","QAQC-"&amp;TEXT(COUNTIF($G$3:G472,G472),"000"),IF(G472="HCGA","HCGA-"&amp;TEXT(COUNTIF($G$3:G472,G472),"000"),IF(G472="MAINTENANCE","MNT-"&amp;TEXT(COUNTIF($G$3:G472,G472),"000"),IF(G472="CIVIL","CIV-"&amp;TEXT(COUNTIF($G$3:G472,G472),"000"),IF(G472="GANIS","GAN-"&amp;TEXT(COUNTIF($G$3:G472,G472),"000"),IF(G472="ENGINEERING","ENG-"&amp;TEXT(COUNTIF($G$3:G472,G472),"000"),IF(G472="PRODUKSI","PRO-"&amp;TEXT(COUNTIF($G$3:G472,G472),"000"),IF(G472="SURVEY","SUR-"&amp;TEXT(COUNTIF($G$3:G472,G472),"000"),"")))))))))))</f>
        <v>HSE-082</v>
      </c>
      <c r="I472" s="3"/>
      <c r="J472" s="3"/>
    </row>
    <row r="473" spans="2:10" ht="15.5">
      <c r="B473" s="4" t="s">
        <v>910</v>
      </c>
      <c r="C473" s="16" t="s">
        <v>868</v>
      </c>
      <c r="D473" s="46"/>
      <c r="E473" s="40" t="s">
        <v>14</v>
      </c>
      <c r="F473" s="32"/>
      <c r="G473" s="21" t="s">
        <v>723</v>
      </c>
      <c r="H473" s="2" t="str">
        <f>IF(G473="","",IF(G473="EKSPLORASI","EXP-"&amp;TEXT(COUNTIF($G$3:G473,G473),"000"),IF(G473="HSE","HSE-"&amp;TEXT(COUNTIF($G$3:G473,G473),"000"),IF(G473="QAQC","QAQC-"&amp;TEXT(COUNTIF($G$3:G473,G473),"000"),IF(G473="HCGA","HCGA-"&amp;TEXT(COUNTIF($G$3:G473,G473),"000"),IF(G473="MAINTENANCE","MNT-"&amp;TEXT(COUNTIF($G$3:G473,G473),"000"),IF(G473="CIVIL","CIV-"&amp;TEXT(COUNTIF($G$3:G473,G473),"000"),IF(G473="GANIS","GAN-"&amp;TEXT(COUNTIF($G$3:G473,G473),"000"),IF(G473="ENGINEERING","ENG-"&amp;TEXT(COUNTIF($G$3:G473,G473),"000"),IF(G473="PRODUKSI","PRO-"&amp;TEXT(COUNTIF($G$3:G473,G473),"000"),IF(G473="SURVEY","SUR-"&amp;TEXT(COUNTIF($G$3:G473,G473),"000"),"")))))))))))</f>
        <v>HSE-083</v>
      </c>
      <c r="I473" s="3"/>
      <c r="J473" s="3"/>
    </row>
    <row r="474" spans="2:10" ht="15.5">
      <c r="B474" s="4" t="s">
        <v>912</v>
      </c>
      <c r="C474" s="16" t="s">
        <v>870</v>
      </c>
      <c r="D474" s="46"/>
      <c r="E474" s="40" t="s">
        <v>43</v>
      </c>
      <c r="F474" s="32"/>
      <c r="G474" s="21" t="s">
        <v>723</v>
      </c>
      <c r="H474" s="2" t="str">
        <f>IF(G474="","",IF(G474="EKSPLORASI","EXP-"&amp;TEXT(COUNTIF($G$3:G474,G474),"000"),IF(G474="HSE","HSE-"&amp;TEXT(COUNTIF($G$3:G474,G474),"000"),IF(G474="QAQC","QAQC-"&amp;TEXT(COUNTIF($G$3:G474,G474),"000"),IF(G474="HCGA","HCGA-"&amp;TEXT(COUNTIF($G$3:G474,G474),"000"),IF(G474="MAINTENANCE","MNT-"&amp;TEXT(COUNTIF($G$3:G474,G474),"000"),IF(G474="CIVIL","CIV-"&amp;TEXT(COUNTIF($G$3:G474,G474),"000"),IF(G474="GANIS","GAN-"&amp;TEXT(COUNTIF($G$3:G474,G474),"000"),IF(G474="ENGINEERING","ENG-"&amp;TEXT(COUNTIF($G$3:G474,G474),"000"),IF(G474="PRODUKSI","PRO-"&amp;TEXT(COUNTIF($G$3:G474,G474),"000"),IF(G474="SURVEY","SUR-"&amp;TEXT(COUNTIF($G$3:G474,G474),"000"),"")))))))))))</f>
        <v>HSE-084</v>
      </c>
      <c r="I474" s="3"/>
      <c r="J474" s="3"/>
    </row>
    <row r="475" spans="2:10" ht="15.5">
      <c r="B475" s="4" t="s">
        <v>913</v>
      </c>
      <c r="C475" s="16" t="s">
        <v>872</v>
      </c>
      <c r="D475" s="46"/>
      <c r="E475" s="40" t="s">
        <v>257</v>
      </c>
      <c r="F475" s="32"/>
      <c r="G475" s="21" t="s">
        <v>723</v>
      </c>
      <c r="H475" s="2" t="str">
        <f>IF(G475="","",IF(G475="EKSPLORASI","EXP-"&amp;TEXT(COUNTIF($G$3:G475,G475),"000"),IF(G475="HSE","HSE-"&amp;TEXT(COUNTIF($G$3:G475,G475),"000"),IF(G475="QAQC","QAQC-"&amp;TEXT(COUNTIF($G$3:G475,G475),"000"),IF(G475="HCGA","HCGA-"&amp;TEXT(COUNTIF($G$3:G475,G475),"000"),IF(G475="MAINTENANCE","MNT-"&amp;TEXT(COUNTIF($G$3:G475,G475),"000"),IF(G475="CIVIL","CIV-"&amp;TEXT(COUNTIF($G$3:G475,G475),"000"),IF(G475="GANIS","GAN-"&amp;TEXT(COUNTIF($G$3:G475,G475),"000"),IF(G475="ENGINEERING","ENG-"&amp;TEXT(COUNTIF($G$3:G475,G475),"000"),IF(G475="PRODUKSI","PRO-"&amp;TEXT(COUNTIF($G$3:G475,G475),"000"),IF(G475="SURVEY","SUR-"&amp;TEXT(COUNTIF($G$3:G475,G475),"000"),"")))))))))))</f>
        <v>HSE-085</v>
      </c>
      <c r="I475" s="3"/>
      <c r="J475" s="3"/>
    </row>
    <row r="476" spans="2:10" ht="15.5">
      <c r="B476" s="4" t="s">
        <v>915</v>
      </c>
      <c r="C476" s="16" t="s">
        <v>874</v>
      </c>
      <c r="D476" s="46"/>
      <c r="E476" s="40" t="s">
        <v>14</v>
      </c>
      <c r="F476" s="32"/>
      <c r="G476" s="21" t="s">
        <v>723</v>
      </c>
      <c r="H476" s="2" t="str">
        <f>IF(G476="","",IF(G476="EKSPLORASI","EXP-"&amp;TEXT(COUNTIF($G$3:G476,G476),"000"),IF(G476="HSE","HSE-"&amp;TEXT(COUNTIF($G$3:G476,G476),"000"),IF(G476="QAQC","QAQC-"&amp;TEXT(COUNTIF($G$3:G476,G476),"000"),IF(G476="HCGA","HCGA-"&amp;TEXT(COUNTIF($G$3:G476,G476),"000"),IF(G476="MAINTENANCE","MNT-"&amp;TEXT(COUNTIF($G$3:G476,G476),"000"),IF(G476="CIVIL","CIV-"&amp;TEXT(COUNTIF($G$3:G476,G476),"000"),IF(G476="GANIS","GAN-"&amp;TEXT(COUNTIF($G$3:G476,G476),"000"),IF(G476="ENGINEERING","ENG-"&amp;TEXT(COUNTIF($G$3:G476,G476),"000"),IF(G476="PRODUKSI","PRO-"&amp;TEXT(COUNTIF($G$3:G476,G476),"000"),IF(G476="SURVEY","SUR-"&amp;TEXT(COUNTIF($G$3:G476,G476),"000"),"")))))))))))</f>
        <v>HSE-086</v>
      </c>
      <c r="I476" s="3"/>
      <c r="J476" s="3"/>
    </row>
    <row r="477" spans="2:10" ht="15.5">
      <c r="B477" s="4" t="s">
        <v>917</v>
      </c>
      <c r="C477" s="16" t="s">
        <v>515</v>
      </c>
      <c r="D477" s="46"/>
      <c r="E477" s="40" t="s">
        <v>79</v>
      </c>
      <c r="F477" s="32"/>
      <c r="G477" s="21" t="s">
        <v>723</v>
      </c>
      <c r="H477" s="2" t="str">
        <f>IF(G477="","",IF(G477="EKSPLORASI","EXP-"&amp;TEXT(COUNTIF($G$3:G477,G477),"000"),IF(G477="HSE","HSE-"&amp;TEXT(COUNTIF($G$3:G477,G477),"000"),IF(G477="QAQC","QAQC-"&amp;TEXT(COUNTIF($G$3:G477,G477),"000"),IF(G477="HCGA","HCGA-"&amp;TEXT(COUNTIF($G$3:G477,G477),"000"),IF(G477="MAINTENANCE","MNT-"&amp;TEXT(COUNTIF($G$3:G477,G477),"000"),IF(G477="CIVIL","CIV-"&amp;TEXT(COUNTIF($G$3:G477,G477),"000"),IF(G477="GANIS","GAN-"&amp;TEXT(COUNTIF($G$3:G477,G477),"000"),IF(G477="ENGINEERING","ENG-"&amp;TEXT(COUNTIF($G$3:G477,G477),"000"),IF(G477="PRODUKSI","PRO-"&amp;TEXT(COUNTIF($G$3:G477,G477),"000"),IF(G477="SURVEY","SUR-"&amp;TEXT(COUNTIF($G$3:G477,G477),"000"),"")))))))))))</f>
        <v>HSE-087</v>
      </c>
      <c r="I477" s="3"/>
      <c r="J477" s="3"/>
    </row>
    <row r="478" spans="2:10" ht="15.5">
      <c r="B478" s="4" t="s">
        <v>920</v>
      </c>
      <c r="C478" s="16" t="s">
        <v>877</v>
      </c>
      <c r="D478" s="46"/>
      <c r="E478" s="40" t="s">
        <v>43</v>
      </c>
      <c r="F478" s="32"/>
      <c r="G478" s="21" t="s">
        <v>723</v>
      </c>
      <c r="H478" s="2" t="str">
        <f>IF(G478="","",IF(G478="EKSPLORASI","EXP-"&amp;TEXT(COUNTIF($G$3:G478,G478),"000"),IF(G478="HSE","HSE-"&amp;TEXT(COUNTIF($G$3:G478,G478),"000"),IF(G478="QAQC","QAQC-"&amp;TEXT(COUNTIF($G$3:G478,G478),"000"),IF(G478="HCGA","HCGA-"&amp;TEXT(COUNTIF($G$3:G478,G478),"000"),IF(G478="MAINTENANCE","MNT-"&amp;TEXT(COUNTIF($G$3:G478,G478),"000"),IF(G478="CIVIL","CIV-"&amp;TEXT(COUNTIF($G$3:G478,G478),"000"),IF(G478="GANIS","GAN-"&amp;TEXT(COUNTIF($G$3:G478,G478),"000"),IF(G478="ENGINEERING","ENG-"&amp;TEXT(COUNTIF($G$3:G478,G478),"000"),IF(G478="PRODUKSI","PRO-"&amp;TEXT(COUNTIF($G$3:G478,G478),"000"),IF(G478="SURVEY","SUR-"&amp;TEXT(COUNTIF($G$3:G478,G478),"000"),"")))))))))))</f>
        <v>HSE-088</v>
      </c>
      <c r="I478" s="3"/>
      <c r="J478" s="3"/>
    </row>
    <row r="479" spans="2:10" ht="15.5">
      <c r="B479" s="4" t="s">
        <v>922</v>
      </c>
      <c r="C479" s="16" t="s">
        <v>879</v>
      </c>
      <c r="D479" s="46"/>
      <c r="E479" s="40" t="s">
        <v>14</v>
      </c>
      <c r="F479" s="32"/>
      <c r="G479" s="21" t="s">
        <v>723</v>
      </c>
      <c r="H479" s="2" t="str">
        <f>IF(G479="","",IF(G479="EKSPLORASI","EXP-"&amp;TEXT(COUNTIF($G$3:G479,G479),"000"),IF(G479="HSE","HSE-"&amp;TEXT(COUNTIF($G$3:G479,G479),"000"),IF(G479="QAQC","QAQC-"&amp;TEXT(COUNTIF($G$3:G479,G479),"000"),IF(G479="HCGA","HCGA-"&amp;TEXT(COUNTIF($G$3:G479,G479),"000"),IF(G479="MAINTENANCE","MNT-"&amp;TEXT(COUNTIF($G$3:G479,G479),"000"),IF(G479="CIVIL","CIV-"&amp;TEXT(COUNTIF($G$3:G479,G479),"000"),IF(G479="GANIS","GAN-"&amp;TEXT(COUNTIF($G$3:G479,G479),"000"),IF(G479="ENGINEERING","ENG-"&amp;TEXT(COUNTIF($G$3:G479,G479),"000"),IF(G479="PRODUKSI","PRO-"&amp;TEXT(COUNTIF($G$3:G479,G479),"000"),IF(G479="SURVEY","SUR-"&amp;TEXT(COUNTIF($G$3:G479,G479),"000"),"")))))))))))</f>
        <v>HSE-089</v>
      </c>
      <c r="I479" s="3"/>
      <c r="J479" s="3"/>
    </row>
    <row r="480" spans="2:10" ht="15.5">
      <c r="B480" s="4" t="s">
        <v>924</v>
      </c>
      <c r="C480" s="16" t="s">
        <v>881</v>
      </c>
      <c r="D480" s="46"/>
      <c r="E480" s="40" t="s">
        <v>14</v>
      </c>
      <c r="F480" s="32"/>
      <c r="G480" s="21" t="s">
        <v>723</v>
      </c>
      <c r="H480" s="2" t="str">
        <f>IF(G480="","",IF(G480="EKSPLORASI","EXP-"&amp;TEXT(COUNTIF($G$3:G480,G480),"000"),IF(G480="HSE","HSE-"&amp;TEXT(COUNTIF($G$3:G480,G480),"000"),IF(G480="QAQC","QAQC-"&amp;TEXT(COUNTIF($G$3:G480,G480),"000"),IF(G480="HCGA","HCGA-"&amp;TEXT(COUNTIF($G$3:G480,G480),"000"),IF(G480="MAINTENANCE","MNT-"&amp;TEXT(COUNTIF($G$3:G480,G480),"000"),IF(G480="CIVIL","CIV-"&amp;TEXT(COUNTIF($G$3:G480,G480),"000"),IF(G480="GANIS","GAN-"&amp;TEXT(COUNTIF($G$3:G480,G480),"000"),IF(G480="ENGINEERING","ENG-"&amp;TEXT(COUNTIF($G$3:G480,G480),"000"),IF(G480="PRODUKSI","PRO-"&amp;TEXT(COUNTIF($G$3:G480,G480),"000"),IF(G480="SURVEY","SUR-"&amp;TEXT(COUNTIF($G$3:G480,G480),"000"),"")))))))))))</f>
        <v>HSE-090</v>
      </c>
      <c r="I480" s="3"/>
      <c r="J480" s="3"/>
    </row>
    <row r="481" spans="2:10" ht="15.5">
      <c r="B481" s="4" t="s">
        <v>926</v>
      </c>
      <c r="C481" s="16" t="s">
        <v>883</v>
      </c>
      <c r="D481" s="46"/>
      <c r="E481" s="40" t="s">
        <v>528</v>
      </c>
      <c r="F481" s="32"/>
      <c r="G481" s="21" t="s">
        <v>723</v>
      </c>
      <c r="H481" s="2" t="str">
        <f>IF(G481="","",IF(G481="EKSPLORASI","EXP-"&amp;TEXT(COUNTIF($G$3:G481,G481),"000"),IF(G481="HSE","HSE-"&amp;TEXT(COUNTIF($G$3:G481,G481),"000"),IF(G481="QAQC","QAQC-"&amp;TEXT(COUNTIF($G$3:G481,G481),"000"),IF(G481="HCGA","HCGA-"&amp;TEXT(COUNTIF($G$3:G481,G481),"000"),IF(G481="MAINTENANCE","MNT-"&amp;TEXT(COUNTIF($G$3:G481,G481),"000"),IF(G481="CIVIL","CIV-"&amp;TEXT(COUNTIF($G$3:G481,G481),"000"),IF(G481="GANIS","GAN-"&amp;TEXT(COUNTIF($G$3:G481,G481),"000"),IF(G481="ENGINEERING","ENG-"&amp;TEXT(COUNTIF($G$3:G481,G481),"000"),IF(G481="PRODUKSI","PRO-"&amp;TEXT(COUNTIF($G$3:G481,G481),"000"),IF(G481="SURVEY","SUR-"&amp;TEXT(COUNTIF($G$3:G481,G481),"000"),"")))))))))))</f>
        <v>HSE-091</v>
      </c>
      <c r="I481" s="3"/>
      <c r="J481" s="3"/>
    </row>
    <row r="482" spans="2:10" ht="15.5">
      <c r="B482" s="4" t="s">
        <v>928</v>
      </c>
      <c r="C482" s="16" t="s">
        <v>885</v>
      </c>
      <c r="D482" s="46"/>
      <c r="E482" s="40" t="s">
        <v>79</v>
      </c>
      <c r="F482" s="32"/>
      <c r="G482" s="21" t="s">
        <v>723</v>
      </c>
      <c r="H482" s="2" t="str">
        <f>IF(G482="","",IF(G482="EKSPLORASI","EXP-"&amp;TEXT(COUNTIF($G$3:G482,G482),"000"),IF(G482="HSE","HSE-"&amp;TEXT(COUNTIF($G$3:G482,G482),"000"),IF(G482="QAQC","QAQC-"&amp;TEXT(COUNTIF($G$3:G482,G482),"000"),IF(G482="HCGA","HCGA-"&amp;TEXT(COUNTIF($G$3:G482,G482),"000"),IF(G482="MAINTENANCE","MNT-"&amp;TEXT(COUNTIF($G$3:G482,G482),"000"),IF(G482="CIVIL","CIV-"&amp;TEXT(COUNTIF($G$3:G482,G482),"000"),IF(G482="GANIS","GAN-"&amp;TEXT(COUNTIF($G$3:G482,G482),"000"),IF(G482="ENGINEERING","ENG-"&amp;TEXT(COUNTIF($G$3:G482,G482),"000"),IF(G482="PRODUKSI","PRO-"&amp;TEXT(COUNTIF($G$3:G482,G482),"000"),IF(G482="SURVEY","SUR-"&amp;TEXT(COUNTIF($G$3:G482,G482),"000"),"")))))))))))</f>
        <v>HSE-092</v>
      </c>
      <c r="I482" s="3"/>
      <c r="J482" s="3"/>
    </row>
    <row r="483" spans="2:10" ht="15.5">
      <c r="B483" s="4" t="s">
        <v>930</v>
      </c>
      <c r="C483" s="16" t="s">
        <v>887</v>
      </c>
      <c r="D483" s="46"/>
      <c r="E483" s="40" t="s">
        <v>56</v>
      </c>
      <c r="F483" s="32"/>
      <c r="G483" s="21" t="s">
        <v>723</v>
      </c>
      <c r="H483" s="2" t="str">
        <f>IF(G483="","",IF(G483="EKSPLORASI","EXP-"&amp;TEXT(COUNTIF($G$3:G483,G483),"000"),IF(G483="HSE","HSE-"&amp;TEXT(COUNTIF($G$3:G483,G483),"000"),IF(G483="QAQC","QAQC-"&amp;TEXT(COUNTIF($G$3:G483,G483),"000"),IF(G483="HCGA","HCGA-"&amp;TEXT(COUNTIF($G$3:G483,G483),"000"),IF(G483="MAINTENANCE","MNT-"&amp;TEXT(COUNTIF($G$3:G483,G483),"000"),IF(G483="CIVIL","CIV-"&amp;TEXT(COUNTIF($G$3:G483,G483),"000"),IF(G483="GANIS","GAN-"&amp;TEXT(COUNTIF($G$3:G483,G483),"000"),IF(G483="ENGINEERING","ENG-"&amp;TEXT(COUNTIF($G$3:G483,G483),"000"),IF(G483="PRODUKSI","PRO-"&amp;TEXT(COUNTIF($G$3:G483,G483),"000"),IF(G483="SURVEY","SUR-"&amp;TEXT(COUNTIF($G$3:G483,G483),"000"),"")))))))))))</f>
        <v>HSE-093</v>
      </c>
      <c r="I483" s="3"/>
      <c r="J483" s="3"/>
    </row>
    <row r="484" spans="2:10" ht="15.5">
      <c r="B484" s="4" t="s">
        <v>932</v>
      </c>
      <c r="C484" s="16" t="s">
        <v>889</v>
      </c>
      <c r="D484" s="46"/>
      <c r="E484" s="40" t="s">
        <v>14</v>
      </c>
      <c r="F484" s="32"/>
      <c r="G484" s="21" t="s">
        <v>723</v>
      </c>
      <c r="H484" s="2" t="str">
        <f>IF(G484="","",IF(G484="EKSPLORASI","EXP-"&amp;TEXT(COUNTIF($G$3:G484,G484),"000"),IF(G484="HSE","HSE-"&amp;TEXT(COUNTIF($G$3:G484,G484),"000"),IF(G484="QAQC","QAQC-"&amp;TEXT(COUNTIF($G$3:G484,G484),"000"),IF(G484="HCGA","HCGA-"&amp;TEXT(COUNTIF($G$3:G484,G484),"000"),IF(G484="MAINTENANCE","MNT-"&amp;TEXT(COUNTIF($G$3:G484,G484),"000"),IF(G484="CIVIL","CIV-"&amp;TEXT(COUNTIF($G$3:G484,G484),"000"),IF(G484="GANIS","GAN-"&amp;TEXT(COUNTIF($G$3:G484,G484),"000"),IF(G484="ENGINEERING","ENG-"&amp;TEXT(COUNTIF($G$3:G484,G484),"000"),IF(G484="PRODUKSI","PRO-"&amp;TEXT(COUNTIF($G$3:G484,G484),"000"),IF(G484="SURVEY","SUR-"&amp;TEXT(COUNTIF($G$3:G484,G484),"000"),"")))))))))))</f>
        <v>HSE-094</v>
      </c>
      <c r="I484" s="3"/>
      <c r="J484" s="3"/>
    </row>
    <row r="485" spans="2:10" ht="15.5">
      <c r="B485" s="4" t="s">
        <v>934</v>
      </c>
      <c r="C485" s="16" t="s">
        <v>891</v>
      </c>
      <c r="D485" s="46">
        <v>50000</v>
      </c>
      <c r="E485" s="40" t="s">
        <v>14</v>
      </c>
      <c r="F485" s="32"/>
      <c r="G485" s="21" t="s">
        <v>723</v>
      </c>
      <c r="H485" s="2" t="str">
        <f>IF(G485="","",IF(G485="EKSPLORASI","EXP-"&amp;TEXT(COUNTIF($G$3:G485,G485),"000"),IF(G485="HSE","HSE-"&amp;TEXT(COUNTIF($G$3:G485,G485),"000"),IF(G485="QAQC","QAQC-"&amp;TEXT(COUNTIF($G$3:G485,G485),"000"),IF(G485="HCGA","HCGA-"&amp;TEXT(COUNTIF($G$3:G485,G485),"000"),IF(G485="MAINTENANCE","MNT-"&amp;TEXT(COUNTIF($G$3:G485,G485),"000"),IF(G485="CIVIL","CIV-"&amp;TEXT(COUNTIF($G$3:G485,G485),"000"),IF(G485="GANIS","GAN-"&amp;TEXT(COUNTIF($G$3:G485,G485),"000"),IF(G485="ENGINEERING","ENG-"&amp;TEXT(COUNTIF($G$3:G485,G485),"000"),IF(G485="PRODUKSI","PRO-"&amp;TEXT(COUNTIF($G$3:G485,G485),"000"),IF(G485="SURVEY","SUR-"&amp;TEXT(COUNTIF($G$3:G485,G485),"000"),"")))))))))))</f>
        <v>HSE-095</v>
      </c>
      <c r="I485" s="3"/>
      <c r="J485" s="3"/>
    </row>
    <row r="486" spans="2:10" ht="15.5">
      <c r="B486" s="4" t="s">
        <v>936</v>
      </c>
      <c r="C486" s="16" t="s">
        <v>893</v>
      </c>
      <c r="D486" s="46"/>
      <c r="E486" s="40" t="s">
        <v>14</v>
      </c>
      <c r="F486" s="32"/>
      <c r="G486" s="21" t="s">
        <v>723</v>
      </c>
      <c r="H486" s="2" t="str">
        <f>IF(G486="","",IF(G486="EKSPLORASI","EXP-"&amp;TEXT(COUNTIF($G$3:G486,G486),"000"),IF(G486="HSE","HSE-"&amp;TEXT(COUNTIF($G$3:G486,G486),"000"),IF(G486="QAQC","QAQC-"&amp;TEXT(COUNTIF($G$3:G486,G486),"000"),IF(G486="HCGA","HCGA-"&amp;TEXT(COUNTIF($G$3:G486,G486),"000"),IF(G486="MAINTENANCE","MNT-"&amp;TEXT(COUNTIF($G$3:G486,G486),"000"),IF(G486="CIVIL","CIV-"&amp;TEXT(COUNTIF($G$3:G486,G486),"000"),IF(G486="GANIS","GAN-"&amp;TEXT(COUNTIF($G$3:G486,G486),"000"),IF(G486="ENGINEERING","ENG-"&amp;TEXT(COUNTIF($G$3:G486,G486),"000"),IF(G486="PRODUKSI","PRO-"&amp;TEXT(COUNTIF($G$3:G486,G486),"000"),IF(G486="SURVEY","SUR-"&amp;TEXT(COUNTIF($G$3:G486,G486),"000"),"")))))))))))</f>
        <v>HSE-096</v>
      </c>
      <c r="I486" s="3"/>
      <c r="J486" s="3"/>
    </row>
    <row r="487" spans="2:10" ht="15.5">
      <c r="B487" s="4" t="s">
        <v>938</v>
      </c>
      <c r="C487" s="16" t="s">
        <v>895</v>
      </c>
      <c r="D487" s="46"/>
      <c r="E487" s="40" t="s">
        <v>14</v>
      </c>
      <c r="F487" s="32"/>
      <c r="G487" s="21" t="s">
        <v>723</v>
      </c>
      <c r="H487" s="2" t="str">
        <f>IF(G487="","",IF(G487="EKSPLORASI","EXP-"&amp;TEXT(COUNTIF($G$3:G487,G487),"000"),IF(G487="HSE","HSE-"&amp;TEXT(COUNTIF($G$3:G487,G487),"000"),IF(G487="QAQC","QAQC-"&amp;TEXT(COUNTIF($G$3:G487,G487),"000"),IF(G487="HCGA","HCGA-"&amp;TEXT(COUNTIF($G$3:G487,G487),"000"),IF(G487="MAINTENANCE","MNT-"&amp;TEXT(COUNTIF($G$3:G487,G487),"000"),IF(G487="CIVIL","CIV-"&amp;TEXT(COUNTIF($G$3:G487,G487),"000"),IF(G487="GANIS","GAN-"&amp;TEXT(COUNTIF($G$3:G487,G487),"000"),IF(G487="ENGINEERING","ENG-"&amp;TEXT(COUNTIF($G$3:G487,G487),"000"),IF(G487="PRODUKSI","PRO-"&amp;TEXT(COUNTIF($G$3:G487,G487),"000"),IF(G487="SURVEY","SUR-"&amp;TEXT(COUNTIF($G$3:G487,G487),"000"),"")))))))))))</f>
        <v>HSE-097</v>
      </c>
      <c r="I487" s="3"/>
      <c r="J487" s="3"/>
    </row>
    <row r="488" spans="2:10" ht="15.5">
      <c r="B488" s="4" t="s">
        <v>940</v>
      </c>
      <c r="C488" s="16" t="s">
        <v>897</v>
      </c>
      <c r="D488" s="46"/>
      <c r="E488" s="40" t="s">
        <v>14</v>
      </c>
      <c r="F488" s="32"/>
      <c r="G488" s="21" t="s">
        <v>723</v>
      </c>
      <c r="H488" s="2" t="str">
        <f>IF(G488="","",IF(G488="EKSPLORASI","EXP-"&amp;TEXT(COUNTIF($G$3:G488,G488),"000"),IF(G488="HSE","HSE-"&amp;TEXT(COUNTIF($G$3:G488,G488),"000"),IF(G488="QAQC","QAQC-"&amp;TEXT(COUNTIF($G$3:G488,G488),"000"),IF(G488="HCGA","HCGA-"&amp;TEXT(COUNTIF($G$3:G488,G488),"000"),IF(G488="MAINTENANCE","MNT-"&amp;TEXT(COUNTIF($G$3:G488,G488),"000"),IF(G488="CIVIL","CIV-"&amp;TEXT(COUNTIF($G$3:G488,G488),"000"),IF(G488="GANIS","GAN-"&amp;TEXT(COUNTIF($G$3:G488,G488),"000"),IF(G488="ENGINEERING","ENG-"&amp;TEXT(COUNTIF($G$3:G488,G488),"000"),IF(G488="PRODUKSI","PRO-"&amp;TEXT(COUNTIF($G$3:G488,G488),"000"),IF(G488="SURVEY","SUR-"&amp;TEXT(COUNTIF($G$3:G488,G488),"000"),"")))))))))))</f>
        <v>HSE-098</v>
      </c>
      <c r="I488" s="3"/>
      <c r="J488" s="3"/>
    </row>
    <row r="489" spans="2:10" ht="15.5">
      <c r="B489" s="4" t="s">
        <v>942</v>
      </c>
      <c r="C489" s="16" t="s">
        <v>291</v>
      </c>
      <c r="D489" s="46">
        <v>90000</v>
      </c>
      <c r="E489" s="40" t="s">
        <v>25</v>
      </c>
      <c r="F489" s="32"/>
      <c r="G489" s="21" t="s">
        <v>723</v>
      </c>
      <c r="H489" s="2" t="str">
        <f>IF(G489="","",IF(G489="EKSPLORASI","EXP-"&amp;TEXT(COUNTIF($G$3:G489,G489),"000"),IF(G489="HSE","HSE-"&amp;TEXT(COUNTIF($G$3:G489,G489),"000"),IF(G489="QAQC","QAQC-"&amp;TEXT(COUNTIF($G$3:G489,G489),"000"),IF(G489="HCGA","HCGA-"&amp;TEXT(COUNTIF($G$3:G489,G489),"000"),IF(G489="MAINTENANCE","MNT-"&amp;TEXT(COUNTIF($G$3:G489,G489),"000"),IF(G489="CIVIL","CIV-"&amp;TEXT(COUNTIF($G$3:G489,G489),"000"),IF(G489="GANIS","GAN-"&amp;TEXT(COUNTIF($G$3:G489,G489),"000"),IF(G489="ENGINEERING","ENG-"&amp;TEXT(COUNTIF($G$3:G489,G489),"000"),IF(G489="PRODUKSI","PRO-"&amp;TEXT(COUNTIF($G$3:G489,G489),"000"),IF(G489="SURVEY","SUR-"&amp;TEXT(COUNTIF($G$3:G489,G489),"000"),"")))))))))))</f>
        <v>HSE-099</v>
      </c>
      <c r="I489" s="3"/>
      <c r="J489" s="3"/>
    </row>
    <row r="490" spans="2:10" ht="15.5">
      <c r="B490" s="4" t="s">
        <v>944</v>
      </c>
      <c r="C490" s="16" t="s">
        <v>297</v>
      </c>
      <c r="D490" s="46"/>
      <c r="E490" s="40" t="s">
        <v>14</v>
      </c>
      <c r="F490" s="32"/>
      <c r="G490" s="21" t="s">
        <v>723</v>
      </c>
      <c r="H490" s="2" t="str">
        <f>IF(G490="","",IF(G490="EKSPLORASI","EXP-"&amp;TEXT(COUNTIF($G$3:G490,G490),"000"),IF(G490="HSE","HSE-"&amp;TEXT(COUNTIF($G$3:G490,G490),"000"),IF(G490="QAQC","QAQC-"&amp;TEXT(COUNTIF($G$3:G490,G490),"000"),IF(G490="HCGA","HCGA-"&amp;TEXT(COUNTIF($G$3:G490,G490),"000"),IF(G490="MAINTENANCE","MNT-"&amp;TEXT(COUNTIF($G$3:G490,G490),"000"),IF(G490="CIVIL","CIV-"&amp;TEXT(COUNTIF($G$3:G490,G490),"000"),IF(G490="GANIS","GAN-"&amp;TEXT(COUNTIF($G$3:G490,G490),"000"),IF(G490="ENGINEERING","ENG-"&amp;TEXT(COUNTIF($G$3:G490,G490),"000"),IF(G490="PRODUKSI","PRO-"&amp;TEXT(COUNTIF($G$3:G490,G490),"000"),IF(G490="SURVEY","SUR-"&amp;TEXT(COUNTIF($G$3:G490,G490),"000"),"")))))))))))</f>
        <v>HSE-100</v>
      </c>
      <c r="I490" s="3"/>
      <c r="J490" s="3"/>
    </row>
    <row r="491" spans="2:10" ht="15.5">
      <c r="B491" s="4" t="s">
        <v>945</v>
      </c>
      <c r="C491" s="16" t="s">
        <v>901</v>
      </c>
      <c r="D491" s="46">
        <v>100000</v>
      </c>
      <c r="E491" s="40" t="s">
        <v>528</v>
      </c>
      <c r="F491" s="32" t="s">
        <v>1092</v>
      </c>
      <c r="G491" s="21" t="s">
        <v>723</v>
      </c>
      <c r="H491" s="2" t="str">
        <f>IF(G491="","",IF(G491="EKSPLORASI","EXP-"&amp;TEXT(COUNTIF($G$3:G491,G491),"000"),IF(G491="HSE","HSE-"&amp;TEXT(COUNTIF($G$3:G491,G491),"000"),IF(G491="QAQC","QAQC-"&amp;TEXT(COUNTIF($G$3:G491,G491),"000"),IF(G491="HCGA","HCGA-"&amp;TEXT(COUNTIF($G$3:G491,G491),"000"),IF(G491="MAINTENANCE","MNT-"&amp;TEXT(COUNTIF($G$3:G491,G491),"000"),IF(G491="CIVIL","CIV-"&amp;TEXT(COUNTIF($G$3:G491,G491),"000"),IF(G491="GANIS","GAN-"&amp;TEXT(COUNTIF($G$3:G491,G491),"000"),IF(G491="ENGINEERING","ENG-"&amp;TEXT(COUNTIF($G$3:G491,G491),"000"),IF(G491="PRODUKSI","PRO-"&amp;TEXT(COUNTIF($G$3:G491,G491),"000"),IF(G491="SURVEY","SUR-"&amp;TEXT(COUNTIF($G$3:G491,G491),"000"),"")))))))))))</f>
        <v>HSE-101</v>
      </c>
      <c r="I491" s="3"/>
      <c r="J491" s="3"/>
    </row>
    <row r="492" spans="2:10" ht="15.5">
      <c r="B492" s="4" t="s">
        <v>947</v>
      </c>
      <c r="C492" s="16" t="s">
        <v>320</v>
      </c>
      <c r="D492" s="46"/>
      <c r="E492" s="40" t="s">
        <v>132</v>
      </c>
      <c r="F492" s="32"/>
      <c r="G492" s="21" t="s">
        <v>723</v>
      </c>
      <c r="H492" s="2" t="str">
        <f>IF(G492="","",IF(G492="EKSPLORASI","EXP-"&amp;TEXT(COUNTIF($G$3:G492,G492),"000"),IF(G492="HSE","HSE-"&amp;TEXT(COUNTIF($G$3:G492,G492),"000"),IF(G492="QAQC","QAQC-"&amp;TEXT(COUNTIF($G$3:G492,G492),"000"),IF(G492="HCGA","HCGA-"&amp;TEXT(COUNTIF($G$3:G492,G492),"000"),IF(G492="MAINTENANCE","MNT-"&amp;TEXT(COUNTIF($G$3:G492,G492),"000"),IF(G492="CIVIL","CIV-"&amp;TEXT(COUNTIF($G$3:G492,G492),"000"),IF(G492="GANIS","GAN-"&amp;TEXT(COUNTIF($G$3:G492,G492),"000"),IF(G492="ENGINEERING","ENG-"&amp;TEXT(COUNTIF($G$3:G492,G492),"000"),IF(G492="PRODUKSI","PRO-"&amp;TEXT(COUNTIF($G$3:G492,G492),"000"),IF(G492="SURVEY","SUR-"&amp;TEXT(COUNTIF($G$3:G492,G492),"000"),"")))))))))))</f>
        <v>HSE-102</v>
      </c>
      <c r="I492" s="3"/>
      <c r="J492" s="3"/>
    </row>
    <row r="493" spans="2:10" ht="15.5">
      <c r="B493" s="4" t="s">
        <v>949</v>
      </c>
      <c r="C493" s="16" t="s">
        <v>327</v>
      </c>
      <c r="D493" s="46"/>
      <c r="E493" s="40" t="s">
        <v>14</v>
      </c>
      <c r="F493" s="32"/>
      <c r="G493" s="21" t="s">
        <v>723</v>
      </c>
      <c r="H493" s="2" t="str">
        <f>IF(G493="","",IF(G493="EKSPLORASI","EXP-"&amp;TEXT(COUNTIF($G$3:G493,G493),"000"),IF(G493="HSE","HSE-"&amp;TEXT(COUNTIF($G$3:G493,G493),"000"),IF(G493="QAQC","QAQC-"&amp;TEXT(COUNTIF($G$3:G493,G493),"000"),IF(G493="HCGA","HCGA-"&amp;TEXT(COUNTIF($G$3:G493,G493),"000"),IF(G493="MAINTENANCE","MNT-"&amp;TEXT(COUNTIF($G$3:G493,G493),"000"),IF(G493="CIVIL","CIV-"&amp;TEXT(COUNTIF($G$3:G493,G493),"000"),IF(G493="GANIS","GAN-"&amp;TEXT(COUNTIF($G$3:G493,G493),"000"),IF(G493="ENGINEERING","ENG-"&amp;TEXT(COUNTIF($G$3:G493,G493),"000"),IF(G493="PRODUKSI","PRO-"&amp;TEXT(COUNTIF($G$3:G493,G493),"000"),IF(G493="SURVEY","SUR-"&amp;TEXT(COUNTIF($G$3:G493,G493),"000"),"")))))))))))</f>
        <v>HSE-103</v>
      </c>
      <c r="I493" s="3"/>
      <c r="J493" s="3"/>
    </row>
    <row r="494" spans="2:10" ht="15.5">
      <c r="B494" s="4" t="s">
        <v>951</v>
      </c>
      <c r="C494" s="16" t="s">
        <v>905</v>
      </c>
      <c r="D494" s="46"/>
      <c r="E494" s="40" t="s">
        <v>14</v>
      </c>
      <c r="F494" s="32"/>
      <c r="G494" s="21" t="s">
        <v>723</v>
      </c>
      <c r="H494" s="2" t="str">
        <f>IF(G494="","",IF(G494="EKSPLORASI","EXP-"&amp;TEXT(COUNTIF($G$3:G494,G494),"000"),IF(G494="HSE","HSE-"&amp;TEXT(COUNTIF($G$3:G494,G494),"000"),IF(G494="QAQC","QAQC-"&amp;TEXT(COUNTIF($G$3:G494,G494),"000"),IF(G494="HCGA","HCGA-"&amp;TEXT(COUNTIF($G$3:G494,G494),"000"),IF(G494="MAINTENANCE","MNT-"&amp;TEXT(COUNTIF($G$3:G494,G494),"000"),IF(G494="CIVIL","CIV-"&amp;TEXT(COUNTIF($G$3:G494,G494),"000"),IF(G494="GANIS","GAN-"&amp;TEXT(COUNTIF($G$3:G494,G494),"000"),IF(G494="ENGINEERING","ENG-"&amp;TEXT(COUNTIF($G$3:G494,G494),"000"),IF(G494="PRODUKSI","PRO-"&amp;TEXT(COUNTIF($G$3:G494,G494),"000"),IF(G494="SURVEY","SUR-"&amp;TEXT(COUNTIF($G$3:G494,G494),"000"),"")))))))))))</f>
        <v>HSE-104</v>
      </c>
      <c r="I494" s="3"/>
      <c r="J494" s="3"/>
    </row>
    <row r="495" spans="2:10" ht="15.5">
      <c r="B495" s="4" t="s">
        <v>953</v>
      </c>
      <c r="C495" s="16" t="s">
        <v>907</v>
      </c>
      <c r="D495" s="46"/>
      <c r="E495" s="40" t="s">
        <v>14</v>
      </c>
      <c r="F495" s="32"/>
      <c r="G495" s="21" t="s">
        <v>723</v>
      </c>
      <c r="H495" s="2" t="str">
        <f>IF(G495="","",IF(G495="EKSPLORASI","EXP-"&amp;TEXT(COUNTIF($G$3:G495,G495),"000"),IF(G495="HSE","HSE-"&amp;TEXT(COUNTIF($G$3:G495,G495),"000"),IF(G495="QAQC","QAQC-"&amp;TEXT(COUNTIF($G$3:G495,G495),"000"),IF(G495="HCGA","HCGA-"&amp;TEXT(COUNTIF($G$3:G495,G495),"000"),IF(G495="MAINTENANCE","MNT-"&amp;TEXT(COUNTIF($G$3:G495,G495),"000"),IF(G495="CIVIL","CIV-"&amp;TEXT(COUNTIF($G$3:G495,G495),"000"),IF(G495="GANIS","GAN-"&amp;TEXT(COUNTIF($G$3:G495,G495),"000"),IF(G495="ENGINEERING","ENG-"&amp;TEXT(COUNTIF($G$3:G495,G495),"000"),IF(G495="PRODUKSI","PRO-"&amp;TEXT(COUNTIF($G$3:G495,G495),"000"),IF(G495="SURVEY","SUR-"&amp;TEXT(COUNTIF($G$3:G495,G495),"000"),"")))))))))))</f>
        <v>HSE-105</v>
      </c>
      <c r="I495" s="3"/>
      <c r="J495" s="3"/>
    </row>
    <row r="496" spans="2:10" ht="15.5">
      <c r="B496" s="4" t="s">
        <v>955</v>
      </c>
      <c r="C496" s="16" t="s">
        <v>909</v>
      </c>
      <c r="D496" s="46">
        <v>250000</v>
      </c>
      <c r="E496" s="40" t="s">
        <v>14</v>
      </c>
      <c r="F496" s="32" t="s">
        <v>1101</v>
      </c>
      <c r="G496" s="21" t="s">
        <v>723</v>
      </c>
      <c r="H496" s="2" t="str">
        <f>IF(G496="","",IF(G496="EKSPLORASI","EXP-"&amp;TEXT(COUNTIF($G$3:G496,G496),"000"),IF(G496="HSE","HSE-"&amp;TEXT(COUNTIF($G$3:G496,G496),"000"),IF(G496="QAQC","QAQC-"&amp;TEXT(COUNTIF($G$3:G496,G496),"000"),IF(G496="HCGA","HCGA-"&amp;TEXT(COUNTIF($G$3:G496,G496),"000"),IF(G496="MAINTENANCE","MNT-"&amp;TEXT(COUNTIF($G$3:G496,G496),"000"),IF(G496="CIVIL","CIV-"&amp;TEXT(COUNTIF($G$3:G496,G496),"000"),IF(G496="GANIS","GAN-"&amp;TEXT(COUNTIF($G$3:G496,G496),"000"),IF(G496="ENGINEERING","ENG-"&amp;TEXT(COUNTIF($G$3:G496,G496),"000"),IF(G496="PRODUKSI","PRO-"&amp;TEXT(COUNTIF($G$3:G496,G496),"000"),IF(G496="SURVEY","SUR-"&amp;TEXT(COUNTIF($G$3:G496,G496),"000"),"")))))))))))</f>
        <v>HSE-106</v>
      </c>
      <c r="I496" s="3"/>
      <c r="J496" s="3"/>
    </row>
    <row r="497" spans="2:10" ht="15.5">
      <c r="B497" s="4" t="s">
        <v>956</v>
      </c>
      <c r="C497" s="16" t="s">
        <v>911</v>
      </c>
      <c r="D497" s="46"/>
      <c r="E497" s="40" t="s">
        <v>56</v>
      </c>
      <c r="F497" s="32"/>
      <c r="G497" s="21" t="s">
        <v>723</v>
      </c>
      <c r="H497" s="2" t="str">
        <f>IF(G497="","",IF(G497="EKSPLORASI","EXP-"&amp;TEXT(COUNTIF($G$3:G497,G497),"000"),IF(G497="HSE","HSE-"&amp;TEXT(COUNTIF($G$3:G497,G497),"000"),IF(G497="QAQC","QAQC-"&amp;TEXT(COUNTIF($G$3:G497,G497),"000"),IF(G497="HCGA","HCGA-"&amp;TEXT(COUNTIF($G$3:G497,G497),"000"),IF(G497="MAINTENANCE","MNT-"&amp;TEXT(COUNTIF($G$3:G497,G497),"000"),IF(G497="CIVIL","CIV-"&amp;TEXT(COUNTIF($G$3:G497,G497),"000"),IF(G497="GANIS","GAN-"&amp;TEXT(COUNTIF($G$3:G497,G497),"000"),IF(G497="ENGINEERING","ENG-"&amp;TEXT(COUNTIF($G$3:G497,G497),"000"),IF(G497="PRODUKSI","PRO-"&amp;TEXT(COUNTIF($G$3:G497,G497),"000"),IF(G497="SURVEY","SUR-"&amp;TEXT(COUNTIF($G$3:G497,G497),"000"),"")))))))))))</f>
        <v>HSE-107</v>
      </c>
      <c r="I497" s="3"/>
      <c r="J497" s="3"/>
    </row>
    <row r="498" spans="2:10" ht="15.5">
      <c r="B498" s="4" t="s">
        <v>958</v>
      </c>
      <c r="C498" s="16" t="s">
        <v>408</v>
      </c>
      <c r="D498" s="46"/>
      <c r="E498" s="40" t="s">
        <v>14</v>
      </c>
      <c r="F498" s="32"/>
      <c r="G498" s="21" t="s">
        <v>723</v>
      </c>
      <c r="H498" s="2" t="str">
        <f>IF(G498="","",IF(G498="EKSPLORASI","EXP-"&amp;TEXT(COUNTIF($G$3:G498,G498),"000"),IF(G498="HSE","HSE-"&amp;TEXT(COUNTIF($G$3:G498,G498),"000"),IF(G498="QAQC","QAQC-"&amp;TEXT(COUNTIF($G$3:G498,G498),"000"),IF(G498="HCGA","HCGA-"&amp;TEXT(COUNTIF($G$3:G498,G498),"000"),IF(G498="MAINTENANCE","MNT-"&amp;TEXT(COUNTIF($G$3:G498,G498),"000"),IF(G498="CIVIL","CIV-"&amp;TEXT(COUNTIF($G$3:G498,G498),"000"),IF(G498="GANIS","GAN-"&amp;TEXT(COUNTIF($G$3:G498,G498),"000"),IF(G498="ENGINEERING","ENG-"&amp;TEXT(COUNTIF($G$3:G498,G498),"000"),IF(G498="PRODUKSI","PRO-"&amp;TEXT(COUNTIF($G$3:G498,G498),"000"),IF(G498="SURVEY","SUR-"&amp;TEXT(COUNTIF($G$3:G498,G498),"000"),"")))))))))))</f>
        <v>HSE-108</v>
      </c>
      <c r="I498" s="3"/>
      <c r="J498" s="3"/>
    </row>
    <row r="499" spans="2:10" ht="15.5">
      <c r="B499" s="4" t="s">
        <v>960</v>
      </c>
      <c r="C499" s="16" t="s">
        <v>914</v>
      </c>
      <c r="D499" s="46"/>
      <c r="E499" s="40" t="s">
        <v>14</v>
      </c>
      <c r="F499" s="32"/>
      <c r="G499" s="21" t="s">
        <v>723</v>
      </c>
      <c r="H499" s="2" t="str">
        <f>IF(G499="","",IF(G499="EKSPLORASI","EXP-"&amp;TEXT(COUNTIF($G$3:G499,G499),"000"),IF(G499="HSE","HSE-"&amp;TEXT(COUNTIF($G$3:G499,G499),"000"),IF(G499="QAQC","QAQC-"&amp;TEXT(COUNTIF($G$3:G499,G499),"000"),IF(G499="HCGA","HCGA-"&amp;TEXT(COUNTIF($G$3:G499,G499),"000"),IF(G499="MAINTENANCE","MNT-"&amp;TEXT(COUNTIF($G$3:G499,G499),"000"),IF(G499="CIVIL","CIV-"&amp;TEXT(COUNTIF($G$3:G499,G499),"000"),IF(G499="GANIS","GAN-"&amp;TEXT(COUNTIF($G$3:G499,G499),"000"),IF(G499="ENGINEERING","ENG-"&amp;TEXT(COUNTIF($G$3:G499,G499),"000"),IF(G499="PRODUKSI","PRO-"&amp;TEXT(COUNTIF($G$3:G499,G499),"000"),IF(G499="SURVEY","SUR-"&amp;TEXT(COUNTIF($G$3:G499,G499),"000"),"")))))))))))</f>
        <v>HSE-109</v>
      </c>
      <c r="I499" s="3"/>
      <c r="J499" s="3"/>
    </row>
    <row r="500" spans="2:10" ht="15.5">
      <c r="B500" s="4" t="s">
        <v>962</v>
      </c>
      <c r="C500" s="16" t="s">
        <v>916</v>
      </c>
      <c r="D500" s="46"/>
      <c r="E500" s="40" t="s">
        <v>43</v>
      </c>
      <c r="F500" s="32"/>
      <c r="G500" s="21" t="s">
        <v>723</v>
      </c>
      <c r="H500" s="2" t="str">
        <f>IF(G500="","",IF(G500="EKSPLORASI","EXP-"&amp;TEXT(COUNTIF($G$3:G500,G500),"000"),IF(G500="HSE","HSE-"&amp;TEXT(COUNTIF($G$3:G500,G500),"000"),IF(G500="QAQC","QAQC-"&amp;TEXT(COUNTIF($G$3:G500,G500),"000"),IF(G500="HCGA","HCGA-"&amp;TEXT(COUNTIF($G$3:G500,G500),"000"),IF(G500="MAINTENANCE","MNT-"&amp;TEXT(COUNTIF($G$3:G500,G500),"000"),IF(G500="CIVIL","CIV-"&amp;TEXT(COUNTIF($G$3:G500,G500),"000"),IF(G500="GANIS","GAN-"&amp;TEXT(COUNTIF($G$3:G500,G500),"000"),IF(G500="ENGINEERING","ENG-"&amp;TEXT(COUNTIF($G$3:G500,G500),"000"),IF(G500="PRODUKSI","PRO-"&amp;TEXT(COUNTIF($G$3:G500,G500),"000"),IF(G500="SURVEY","SUR-"&amp;TEXT(COUNTIF($G$3:G500,G500),"000"),"")))))))))))</f>
        <v>HSE-110</v>
      </c>
      <c r="I500" s="3"/>
      <c r="J500" s="3"/>
    </row>
    <row r="501" spans="2:10" ht="15.5">
      <c r="B501" s="4" t="s">
        <v>964</v>
      </c>
      <c r="C501" s="16" t="s">
        <v>918</v>
      </c>
      <c r="D501" s="46">
        <v>1190000</v>
      </c>
      <c r="E501" s="40" t="s">
        <v>139</v>
      </c>
      <c r="F501" s="32"/>
      <c r="G501" s="2" t="s">
        <v>919</v>
      </c>
      <c r="H501" s="2" t="str">
        <f>IF(G501="","",IF(G501="EKSPLORASI","EXP-"&amp;TEXT(COUNTIF($G$3:G501,G501),"000"),IF(G501="HSE","HSE-"&amp;TEXT(COUNTIF($G$3:G501,G501),"000"),IF(G501="QAQC","QAQC-"&amp;TEXT(COUNTIF($G$3:G501,G501),"000"),IF(G501="HCGA","HCGA-"&amp;TEXT(COUNTIF($G$3:G501,G501),"000"),IF(G501="MAINTENANCE","MNT-"&amp;TEXT(COUNTIF($G$3:G501,G501),"000"),IF(G501="CIVIL","CIV-"&amp;TEXT(COUNTIF($G$3:G501,G501),"000"),IF(G501="GANIS","GAN-"&amp;TEXT(COUNTIF($G$3:G501,G501),"000"),IF(G501="ENGINEERING","ENG-"&amp;TEXT(COUNTIF($G$3:G501,G501),"000"),IF(G501="PRODUKSI","PRO-"&amp;TEXT(COUNTIF($G$3:G501,G501),"000"),IF(G501="SURVEY","SUR-"&amp;TEXT(COUNTIF($G$3:G501,G501),"000"),"")))))))))))</f>
        <v>MNT-001</v>
      </c>
      <c r="I501" s="3"/>
      <c r="J501" s="3"/>
    </row>
    <row r="502" spans="2:10" ht="15.5">
      <c r="B502" s="4" t="s">
        <v>966</v>
      </c>
      <c r="C502" s="16" t="s">
        <v>921</v>
      </c>
      <c r="D502" s="46"/>
      <c r="E502" s="40" t="s">
        <v>14</v>
      </c>
      <c r="F502" s="32"/>
      <c r="G502" s="2" t="s">
        <v>919</v>
      </c>
      <c r="H502" s="2" t="str">
        <f>IF(G502="","",IF(G502="EKSPLORASI","EXP-"&amp;TEXT(COUNTIF($G$3:G502,G502),"000"),IF(G502="HSE","HSE-"&amp;TEXT(COUNTIF($G$3:G502,G502),"000"),IF(G502="QAQC","QAQC-"&amp;TEXT(COUNTIF($G$3:G502,G502),"000"),IF(G502="HCGA","HCGA-"&amp;TEXT(COUNTIF($G$3:G502,G502),"000"),IF(G502="MAINTENANCE","MNT-"&amp;TEXT(COUNTIF($G$3:G502,G502),"000"),IF(G502="CIVIL","CIV-"&amp;TEXT(COUNTIF($G$3:G502,G502),"000"),IF(G502="GANIS","GAN-"&amp;TEXT(COUNTIF($G$3:G502,G502),"000"),IF(G502="ENGINEERING","ENG-"&amp;TEXT(COUNTIF($G$3:G502,G502),"000"),IF(G502="PRODUKSI","PRO-"&amp;TEXT(COUNTIF($G$3:G502,G502),"000"),IF(G502="SURVEY","SUR-"&amp;TEXT(COUNTIF($G$3:G502,G502),"000"),"")))))))))))</f>
        <v>MNT-002</v>
      </c>
      <c r="I502" s="3"/>
      <c r="J502" s="3"/>
    </row>
    <row r="503" spans="2:10" ht="15.5">
      <c r="B503" s="4" t="s">
        <v>968</v>
      </c>
      <c r="C503" s="16" t="s">
        <v>923</v>
      </c>
      <c r="D503" s="46"/>
      <c r="E503" s="40" t="s">
        <v>14</v>
      </c>
      <c r="F503" s="32"/>
      <c r="G503" s="2" t="s">
        <v>919</v>
      </c>
      <c r="H503" s="2" t="str">
        <f>IF(G503="","",IF(G503="EKSPLORASI","EXP-"&amp;TEXT(COUNTIF($G$3:G503,G503),"000"),IF(G503="HSE","HSE-"&amp;TEXT(COUNTIF($G$3:G503,G503),"000"),IF(G503="QAQC","QAQC-"&amp;TEXT(COUNTIF($G$3:G503,G503),"000"),IF(G503="HCGA","HCGA-"&amp;TEXT(COUNTIF($G$3:G503,G503),"000"),IF(G503="MAINTENANCE","MNT-"&amp;TEXT(COUNTIF($G$3:G503,G503),"000"),IF(G503="CIVIL","CIV-"&amp;TEXT(COUNTIF($G$3:G503,G503),"000"),IF(G503="GANIS","GAN-"&amp;TEXT(COUNTIF($G$3:G503,G503),"000"),IF(G503="ENGINEERING","ENG-"&amp;TEXT(COUNTIF($G$3:G503,G503),"000"),IF(G503="PRODUKSI","PRO-"&amp;TEXT(COUNTIF($G$3:G503,G503),"000"),IF(G503="SURVEY","SUR-"&amp;TEXT(COUNTIF($G$3:G503,G503),"000"),"")))))))))))</f>
        <v>MNT-003</v>
      </c>
      <c r="I503" s="3"/>
      <c r="J503" s="3"/>
    </row>
    <row r="504" spans="2:10" ht="15.5">
      <c r="B504" s="4" t="s">
        <v>970</v>
      </c>
      <c r="C504" s="16" t="s">
        <v>925</v>
      </c>
      <c r="D504" s="46"/>
      <c r="E504" s="40" t="s">
        <v>14</v>
      </c>
      <c r="F504" s="32"/>
      <c r="G504" s="2" t="s">
        <v>919</v>
      </c>
      <c r="H504" s="2" t="str">
        <f>IF(G504="","",IF(G504="EKSPLORASI","EXP-"&amp;TEXT(COUNTIF($G$3:G504,G504),"000"),IF(G504="HSE","HSE-"&amp;TEXT(COUNTIF($G$3:G504,G504),"000"),IF(G504="QAQC","QAQC-"&amp;TEXT(COUNTIF($G$3:G504,G504),"000"),IF(G504="HCGA","HCGA-"&amp;TEXT(COUNTIF($G$3:G504,G504),"000"),IF(G504="MAINTENANCE","MNT-"&amp;TEXT(COUNTIF($G$3:G504,G504),"000"),IF(G504="CIVIL","CIV-"&amp;TEXT(COUNTIF($G$3:G504,G504),"000"),IF(G504="GANIS","GAN-"&amp;TEXT(COUNTIF($G$3:G504,G504),"000"),IF(G504="ENGINEERING","ENG-"&amp;TEXT(COUNTIF($G$3:G504,G504),"000"),IF(G504="PRODUKSI","PRO-"&amp;TEXT(COUNTIF($G$3:G504,G504),"000"),IF(G504="SURVEY","SUR-"&amp;TEXT(COUNTIF($G$3:G504,G504),"000"),"")))))))))))</f>
        <v>MNT-004</v>
      </c>
      <c r="I504" s="3"/>
      <c r="J504" s="3"/>
    </row>
    <row r="505" spans="2:10" ht="15.5">
      <c r="B505" s="4" t="s">
        <v>972</v>
      </c>
      <c r="C505" s="16" t="s">
        <v>927</v>
      </c>
      <c r="D505" s="46"/>
      <c r="E505" s="40" t="s">
        <v>14</v>
      </c>
      <c r="F505" s="32"/>
      <c r="G505" s="2" t="s">
        <v>919</v>
      </c>
      <c r="H505" s="2" t="str">
        <f>IF(G505="","",IF(G505="EKSPLORASI","EXP-"&amp;TEXT(COUNTIF($G$3:G505,G505),"000"),IF(G505="HSE","HSE-"&amp;TEXT(COUNTIF($G$3:G505,G505),"000"),IF(G505="QAQC","QAQC-"&amp;TEXT(COUNTIF($G$3:G505,G505),"000"),IF(G505="HCGA","HCGA-"&amp;TEXT(COUNTIF($G$3:G505,G505),"000"),IF(G505="MAINTENANCE","MNT-"&amp;TEXT(COUNTIF($G$3:G505,G505),"000"),IF(G505="CIVIL","CIV-"&amp;TEXT(COUNTIF($G$3:G505,G505),"000"),IF(G505="GANIS","GAN-"&amp;TEXT(COUNTIF($G$3:G505,G505),"000"),IF(G505="ENGINEERING","ENG-"&amp;TEXT(COUNTIF($G$3:G505,G505),"000"),IF(G505="PRODUKSI","PRO-"&amp;TEXT(COUNTIF($G$3:G505,G505),"000"),IF(G505="SURVEY","SUR-"&amp;TEXT(COUNTIF($G$3:G505,G505),"000"),"")))))))))))</f>
        <v>MNT-005</v>
      </c>
      <c r="I505" s="3"/>
      <c r="J505" s="3"/>
    </row>
    <row r="506" spans="2:10" ht="15.5">
      <c r="B506" s="4" t="s">
        <v>974</v>
      </c>
      <c r="C506" s="16" t="s">
        <v>929</v>
      </c>
      <c r="D506" s="46"/>
      <c r="E506" s="40" t="s">
        <v>14</v>
      </c>
      <c r="F506" s="32"/>
      <c r="G506" s="2" t="s">
        <v>919</v>
      </c>
      <c r="H506" s="2" t="str">
        <f>IF(G506="","",IF(G506="EKSPLORASI","EXP-"&amp;TEXT(COUNTIF($G$3:G506,G506),"000"),IF(G506="HSE","HSE-"&amp;TEXT(COUNTIF($G$3:G506,G506),"000"),IF(G506="QAQC","QAQC-"&amp;TEXT(COUNTIF($G$3:G506,G506),"000"),IF(G506="HCGA","HCGA-"&amp;TEXT(COUNTIF($G$3:G506,G506),"000"),IF(G506="MAINTENANCE","MNT-"&amp;TEXT(COUNTIF($G$3:G506,G506),"000"),IF(G506="CIVIL","CIV-"&amp;TEXT(COUNTIF($G$3:G506,G506),"000"),IF(G506="GANIS","GAN-"&amp;TEXT(COUNTIF($G$3:G506,G506),"000"),IF(G506="ENGINEERING","ENG-"&amp;TEXT(COUNTIF($G$3:G506,G506),"000"),IF(G506="PRODUKSI","PRO-"&amp;TEXT(COUNTIF($G$3:G506,G506),"000"),IF(G506="SURVEY","SUR-"&amp;TEXT(COUNTIF($G$3:G506,G506),"000"),"")))))))))))</f>
        <v>MNT-006</v>
      </c>
      <c r="I506" s="3"/>
      <c r="J506" s="3"/>
    </row>
    <row r="507" spans="2:10" ht="15.5">
      <c r="B507" s="4" t="s">
        <v>976</v>
      </c>
      <c r="C507" s="11" t="s">
        <v>931</v>
      </c>
      <c r="D507" s="46"/>
      <c r="E507" s="40" t="s">
        <v>14</v>
      </c>
      <c r="F507" s="32"/>
      <c r="G507" s="2" t="s">
        <v>919</v>
      </c>
      <c r="H507" s="2" t="str">
        <f>IF(G507="","",IF(G507="EKSPLORASI","EXP-"&amp;TEXT(COUNTIF($G$3:G507,G507),"000"),IF(G507="HSE","HSE-"&amp;TEXT(COUNTIF($G$3:G507,G507),"000"),IF(G507="QAQC","QAQC-"&amp;TEXT(COUNTIF($G$3:G507,G507),"000"),IF(G507="HCGA","HCGA-"&amp;TEXT(COUNTIF($G$3:G507,G507),"000"),IF(G507="MAINTENANCE","MNT-"&amp;TEXT(COUNTIF($G$3:G507,G507),"000"),IF(G507="CIVIL","CIV-"&amp;TEXT(COUNTIF($G$3:G507,G507),"000"),IF(G507="GANIS","GAN-"&amp;TEXT(COUNTIF($G$3:G507,G507),"000"),IF(G507="ENGINEERING","ENG-"&amp;TEXT(COUNTIF($G$3:G507,G507),"000"),IF(G507="PRODUKSI","PRO-"&amp;TEXT(COUNTIF($G$3:G507,G507),"000"),IF(G507="SURVEY","SUR-"&amp;TEXT(COUNTIF($G$3:G507,G507),"000"),"")))))))))))</f>
        <v>MNT-007</v>
      </c>
      <c r="I507" s="3"/>
      <c r="J507" s="3"/>
    </row>
    <row r="508" spans="2:10" ht="15.5">
      <c r="B508" s="4" t="s">
        <v>978</v>
      </c>
      <c r="C508" s="11" t="s">
        <v>933</v>
      </c>
      <c r="D508" s="46"/>
      <c r="E508" s="40" t="s">
        <v>14</v>
      </c>
      <c r="F508" s="32"/>
      <c r="G508" s="2" t="s">
        <v>919</v>
      </c>
      <c r="H508" s="2" t="str">
        <f>IF(G508="","",IF(G508="EKSPLORASI","EXP-"&amp;TEXT(COUNTIF($G$3:G508,G508),"000"),IF(G508="HSE","HSE-"&amp;TEXT(COUNTIF($G$3:G508,G508),"000"),IF(G508="QAQC","QAQC-"&amp;TEXT(COUNTIF($G$3:G508,G508),"000"),IF(G508="HCGA","HCGA-"&amp;TEXT(COUNTIF($G$3:G508,G508),"000"),IF(G508="MAINTENANCE","MNT-"&amp;TEXT(COUNTIF($G$3:G508,G508),"000"),IF(G508="CIVIL","CIV-"&amp;TEXT(COUNTIF($G$3:G508,G508),"000"),IF(G508="GANIS","GAN-"&amp;TEXT(COUNTIF($G$3:G508,G508),"000"),IF(G508="ENGINEERING","ENG-"&amp;TEXT(COUNTIF($G$3:G508,G508),"000"),IF(G508="PRODUKSI","PRO-"&amp;TEXT(COUNTIF($G$3:G508,G508),"000"),IF(G508="SURVEY","SUR-"&amp;TEXT(COUNTIF($G$3:G508,G508),"000"),"")))))))))))</f>
        <v>MNT-008</v>
      </c>
      <c r="I508" s="3"/>
      <c r="J508" s="3"/>
    </row>
    <row r="509" spans="2:10" ht="15.5">
      <c r="B509" s="4" t="s">
        <v>980</v>
      </c>
      <c r="C509" s="11" t="s">
        <v>935</v>
      </c>
      <c r="D509" s="46"/>
      <c r="E509" s="40" t="s">
        <v>14</v>
      </c>
      <c r="F509" s="32"/>
      <c r="G509" s="2" t="s">
        <v>919</v>
      </c>
      <c r="H509" s="2" t="str">
        <f>IF(G509="","",IF(G509="EKSPLORASI","EXP-"&amp;TEXT(COUNTIF($G$3:G509,G509),"000"),IF(G509="HSE","HSE-"&amp;TEXT(COUNTIF($G$3:G509,G509),"000"),IF(G509="QAQC","QAQC-"&amp;TEXT(COUNTIF($G$3:G509,G509),"000"),IF(G509="HCGA","HCGA-"&amp;TEXT(COUNTIF($G$3:G509,G509),"000"),IF(G509="MAINTENANCE","MNT-"&amp;TEXT(COUNTIF($G$3:G509,G509),"000"),IF(G509="CIVIL","CIV-"&amp;TEXT(COUNTIF($G$3:G509,G509),"000"),IF(G509="GANIS","GAN-"&amp;TEXT(COUNTIF($G$3:G509,G509),"000"),IF(G509="ENGINEERING","ENG-"&amp;TEXT(COUNTIF($G$3:G509,G509),"000"),IF(G509="PRODUKSI","PRO-"&amp;TEXT(COUNTIF($G$3:G509,G509),"000"),IF(G509="SURVEY","SUR-"&amp;TEXT(COUNTIF($G$3:G509,G509),"000"),"")))))))))))</f>
        <v>MNT-009</v>
      </c>
      <c r="I509" s="3"/>
      <c r="J509" s="3"/>
    </row>
    <row r="510" spans="2:10" ht="15.5">
      <c r="B510" s="4" t="s">
        <v>982</v>
      </c>
      <c r="C510" s="11" t="s">
        <v>937</v>
      </c>
      <c r="D510" s="46"/>
      <c r="E510" s="40" t="s">
        <v>14</v>
      </c>
      <c r="F510" s="32"/>
      <c r="G510" s="2" t="s">
        <v>919</v>
      </c>
      <c r="H510" s="2" t="str">
        <f>IF(G510="","",IF(G510="EKSPLORASI","EXP-"&amp;TEXT(COUNTIF($G$3:G510,G510),"000"),IF(G510="HSE","HSE-"&amp;TEXT(COUNTIF($G$3:G510,G510),"000"),IF(G510="QAQC","QAQC-"&amp;TEXT(COUNTIF($G$3:G510,G510),"000"),IF(G510="HCGA","HCGA-"&amp;TEXT(COUNTIF($G$3:G510,G510),"000"),IF(G510="MAINTENANCE","MNT-"&amp;TEXT(COUNTIF($G$3:G510,G510),"000"),IF(G510="CIVIL","CIV-"&amp;TEXT(COUNTIF($G$3:G510,G510),"000"),IF(G510="GANIS","GAN-"&amp;TEXT(COUNTIF($G$3:G510,G510),"000"),IF(G510="ENGINEERING","ENG-"&amp;TEXT(COUNTIF($G$3:G510,G510),"000"),IF(G510="PRODUKSI","PRO-"&amp;TEXT(COUNTIF($G$3:G510,G510),"000"),IF(G510="SURVEY","SUR-"&amp;TEXT(COUNTIF($G$3:G510,G510),"000"),"")))))))))))</f>
        <v>MNT-010</v>
      </c>
      <c r="I510" s="3"/>
      <c r="J510" s="3"/>
    </row>
    <row r="511" spans="2:10" ht="15.5">
      <c r="B511" s="4" t="s">
        <v>984</v>
      </c>
      <c r="C511" s="11" t="s">
        <v>939</v>
      </c>
      <c r="D511" s="46"/>
      <c r="E511" s="40" t="s">
        <v>14</v>
      </c>
      <c r="F511" s="32"/>
      <c r="G511" s="2" t="s">
        <v>919</v>
      </c>
      <c r="H511" s="2" t="str">
        <f>IF(G511="","",IF(G511="EKSPLORASI","EXP-"&amp;TEXT(COUNTIF($G$3:G511,G511),"000"),IF(G511="HSE","HSE-"&amp;TEXT(COUNTIF($G$3:G511,G511),"000"),IF(G511="QAQC","QAQC-"&amp;TEXT(COUNTIF($G$3:G511,G511),"000"),IF(G511="HCGA","HCGA-"&amp;TEXT(COUNTIF($G$3:G511,G511),"000"),IF(G511="MAINTENANCE","MNT-"&amp;TEXT(COUNTIF($G$3:G511,G511),"000"),IF(G511="CIVIL","CIV-"&amp;TEXT(COUNTIF($G$3:G511,G511),"000"),IF(G511="GANIS","GAN-"&amp;TEXT(COUNTIF($G$3:G511,G511),"000"),IF(G511="ENGINEERING","ENG-"&amp;TEXT(COUNTIF($G$3:G511,G511),"000"),IF(G511="PRODUKSI","PRO-"&amp;TEXT(COUNTIF($G$3:G511,G511),"000"),IF(G511="SURVEY","SUR-"&amp;TEXT(COUNTIF($G$3:G511,G511),"000"),"")))))))))))</f>
        <v>MNT-011</v>
      </c>
      <c r="I511" s="3"/>
      <c r="J511" s="3"/>
    </row>
    <row r="512" spans="2:10" ht="15.5">
      <c r="B512" s="4" t="s">
        <v>986</v>
      </c>
      <c r="C512" s="11" t="s">
        <v>941</v>
      </c>
      <c r="D512" s="46">
        <v>120000</v>
      </c>
      <c r="E512" s="40" t="s">
        <v>14</v>
      </c>
      <c r="F512" s="32"/>
      <c r="G512" s="2" t="s">
        <v>919</v>
      </c>
      <c r="H512" s="2" t="str">
        <f>IF(G512="","",IF(G512="EKSPLORASI","EXP-"&amp;TEXT(COUNTIF($G$3:G512,G512),"000"),IF(G512="HSE","HSE-"&amp;TEXT(COUNTIF($G$3:G512,G512),"000"),IF(G512="QAQC","QAQC-"&amp;TEXT(COUNTIF($G$3:G512,G512),"000"),IF(G512="HCGA","HCGA-"&amp;TEXT(COUNTIF($G$3:G512,G512),"000"),IF(G512="MAINTENANCE","MNT-"&amp;TEXT(COUNTIF($G$3:G512,G512),"000"),IF(G512="CIVIL","CIV-"&amp;TEXT(COUNTIF($G$3:G512,G512),"000"),IF(G512="GANIS","GAN-"&amp;TEXT(COUNTIF($G$3:G512,G512),"000"),IF(G512="ENGINEERING","ENG-"&amp;TEXT(COUNTIF($G$3:G512,G512),"000"),IF(G512="PRODUKSI","PRO-"&amp;TEXT(COUNTIF($G$3:G512,G512),"000"),IF(G512="SURVEY","SUR-"&amp;TEXT(COUNTIF($G$3:G512,G512),"000"),"")))))))))))</f>
        <v>MNT-012</v>
      </c>
      <c r="I512" s="3"/>
      <c r="J512" s="3"/>
    </row>
    <row r="513" spans="2:10" ht="15.5">
      <c r="B513" s="4" t="s">
        <v>988</v>
      </c>
      <c r="C513" s="11" t="s">
        <v>943</v>
      </c>
      <c r="D513" s="46"/>
      <c r="E513" s="40" t="s">
        <v>171</v>
      </c>
      <c r="F513" s="32"/>
      <c r="G513" s="2" t="s">
        <v>919</v>
      </c>
      <c r="H513" s="2" t="str">
        <f>IF(G513="","",IF(G513="EKSPLORASI","EXP-"&amp;TEXT(COUNTIF($G$3:G513,G513),"000"),IF(G513="HSE","HSE-"&amp;TEXT(COUNTIF($G$3:G513,G513),"000"),IF(G513="QAQC","QAQC-"&amp;TEXT(COUNTIF($G$3:G513,G513),"000"),IF(G513="HCGA","HCGA-"&amp;TEXT(COUNTIF($G$3:G513,G513),"000"),IF(G513="MAINTENANCE","MNT-"&amp;TEXT(COUNTIF($G$3:G513,G513),"000"),IF(G513="CIVIL","CIV-"&amp;TEXT(COUNTIF($G$3:G513,G513),"000"),IF(G513="GANIS","GAN-"&amp;TEXT(COUNTIF($G$3:G513,G513),"000"),IF(G513="ENGINEERING","ENG-"&amp;TEXT(COUNTIF($G$3:G513,G513),"000"),IF(G513="PRODUKSI","PRO-"&amp;TEXT(COUNTIF($G$3:G513,G513),"000"),IF(G513="SURVEY","SUR-"&amp;TEXT(COUNTIF($G$3:G513,G513),"000"),"")))))))))))</f>
        <v>MNT-013</v>
      </c>
      <c r="I513" s="3"/>
      <c r="J513" s="3"/>
    </row>
    <row r="514" spans="2:10" ht="15.5">
      <c r="B514" s="4" t="s">
        <v>989</v>
      </c>
      <c r="C514" s="11" t="s">
        <v>348</v>
      </c>
      <c r="D514" s="46">
        <v>45000</v>
      </c>
      <c r="E514" s="40" t="s">
        <v>14</v>
      </c>
      <c r="F514" s="39" t="s">
        <v>1085</v>
      </c>
      <c r="G514" s="2" t="s">
        <v>919</v>
      </c>
      <c r="H514" s="2" t="str">
        <f>IF(G514="","",IF(G514="EKSPLORASI","EXP-"&amp;TEXT(COUNTIF($G$3:G514,G514),"000"),IF(G514="HSE","HSE-"&amp;TEXT(COUNTIF($G$3:G514,G514),"000"),IF(G514="QAQC","QAQC-"&amp;TEXT(COUNTIF($G$3:G514,G514),"000"),IF(G514="HCGA","HCGA-"&amp;TEXT(COUNTIF($G$3:G514,G514),"000"),IF(G514="MAINTENANCE","MNT-"&amp;TEXT(COUNTIF($G$3:G514,G514),"000"),IF(G514="CIVIL","CIV-"&amp;TEXT(COUNTIF($G$3:G514,G514),"000"),IF(G514="GANIS","GAN-"&amp;TEXT(COUNTIF($G$3:G514,G514),"000"),IF(G514="ENGINEERING","ENG-"&amp;TEXT(COUNTIF($G$3:G514,G514),"000"),IF(G514="PRODUKSI","PRO-"&amp;TEXT(COUNTIF($G$3:G514,G514),"000"),IF(G514="SURVEY","SUR-"&amp;TEXT(COUNTIF($G$3:G514,G514),"000"),"")))))))))))</f>
        <v>MNT-014</v>
      </c>
      <c r="I514" s="3"/>
      <c r="J514" s="3"/>
    </row>
    <row r="515" spans="2:10" ht="15.5">
      <c r="B515" s="4" t="s">
        <v>991</v>
      </c>
      <c r="C515" s="11" t="s">
        <v>946</v>
      </c>
      <c r="D515" s="46"/>
      <c r="E515" s="40" t="s">
        <v>14</v>
      </c>
      <c r="F515" s="32"/>
      <c r="G515" s="2" t="s">
        <v>919</v>
      </c>
      <c r="H515" s="2" t="str">
        <f>IF(G515="","",IF(G515="EKSPLORASI","EXP-"&amp;TEXT(COUNTIF($G$3:G515,G515),"000"),IF(G515="HSE","HSE-"&amp;TEXT(COUNTIF($G$3:G515,G515),"000"),IF(G515="QAQC","QAQC-"&amp;TEXT(COUNTIF($G$3:G515,G515),"000"),IF(G515="HCGA","HCGA-"&amp;TEXT(COUNTIF($G$3:G515,G515),"000"),IF(G515="MAINTENANCE","MNT-"&amp;TEXT(COUNTIF($G$3:G515,G515),"000"),IF(G515="CIVIL","CIV-"&amp;TEXT(COUNTIF($G$3:G515,G515),"000"),IF(G515="GANIS","GAN-"&amp;TEXT(COUNTIF($G$3:G515,G515),"000"),IF(G515="ENGINEERING","ENG-"&amp;TEXT(COUNTIF($G$3:G515,G515),"000"),IF(G515="PRODUKSI","PRO-"&amp;TEXT(COUNTIF($G$3:G515,G515),"000"),IF(G515="SURVEY","SUR-"&amp;TEXT(COUNTIF($G$3:G515,G515),"000"),"")))))))))))</f>
        <v>MNT-015</v>
      </c>
      <c r="I515" s="3"/>
      <c r="J515" s="3"/>
    </row>
    <row r="516" spans="2:10" ht="15.5">
      <c r="B516" s="4" t="s">
        <v>992</v>
      </c>
      <c r="C516" s="11" t="s">
        <v>948</v>
      </c>
      <c r="D516" s="46"/>
      <c r="E516" s="40" t="s">
        <v>14</v>
      </c>
      <c r="F516" s="32"/>
      <c r="G516" s="2" t="s">
        <v>919</v>
      </c>
      <c r="H516" s="2" t="str">
        <f>IF(G516="","",IF(G516="EKSPLORASI","EXP-"&amp;TEXT(COUNTIF($G$3:G516,G516),"000"),IF(G516="HSE","HSE-"&amp;TEXT(COUNTIF($G$3:G516,G516),"000"),IF(G516="QAQC","QAQC-"&amp;TEXT(COUNTIF($G$3:G516,G516),"000"),IF(G516="HCGA","HCGA-"&amp;TEXT(COUNTIF($G$3:G516,G516),"000"),IF(G516="MAINTENANCE","MNT-"&amp;TEXT(COUNTIF($G$3:G516,G516),"000"),IF(G516="CIVIL","CIV-"&amp;TEXT(COUNTIF($G$3:G516,G516),"000"),IF(G516="GANIS","GAN-"&amp;TEXT(COUNTIF($G$3:G516,G516),"000"),IF(G516="ENGINEERING","ENG-"&amp;TEXT(COUNTIF($G$3:G516,G516),"000"),IF(G516="PRODUKSI","PRO-"&amp;TEXT(COUNTIF($G$3:G516,G516),"000"),IF(G516="SURVEY","SUR-"&amp;TEXT(COUNTIF($G$3:G516,G516),"000"),"")))))))))))</f>
        <v>MNT-016</v>
      </c>
      <c r="I516" s="3"/>
      <c r="J516" s="3"/>
    </row>
    <row r="517" spans="2:10" ht="15.5">
      <c r="B517" s="4" t="s">
        <v>994</v>
      </c>
      <c r="C517" s="11" t="s">
        <v>950</v>
      </c>
      <c r="D517" s="46"/>
      <c r="E517" s="40" t="s">
        <v>14</v>
      </c>
      <c r="F517" s="32"/>
      <c r="G517" s="2" t="s">
        <v>919</v>
      </c>
      <c r="H517" s="2" t="str">
        <f>IF(G517="","",IF(G517="EKSPLORASI","EXP-"&amp;TEXT(COUNTIF($G$3:G517,G517),"000"),IF(G517="HSE","HSE-"&amp;TEXT(COUNTIF($G$3:G517,G517),"000"),IF(G517="QAQC","QAQC-"&amp;TEXT(COUNTIF($G$3:G517,G517),"000"),IF(G517="HCGA","HCGA-"&amp;TEXT(COUNTIF($G$3:G517,G517),"000"),IF(G517="MAINTENANCE","MNT-"&amp;TEXT(COUNTIF($G$3:G517,G517),"000"),IF(G517="CIVIL","CIV-"&amp;TEXT(COUNTIF($G$3:G517,G517),"000"),IF(G517="GANIS","GAN-"&amp;TEXT(COUNTIF($G$3:G517,G517),"000"),IF(G517="ENGINEERING","ENG-"&amp;TEXT(COUNTIF($G$3:G517,G517),"000"),IF(G517="PRODUKSI","PRO-"&amp;TEXT(COUNTIF($G$3:G517,G517),"000"),IF(G517="SURVEY","SUR-"&amp;TEXT(COUNTIF($G$3:G517,G517),"000"),"")))))))))))</f>
        <v>MNT-017</v>
      </c>
      <c r="I517" s="3"/>
      <c r="J517" s="3"/>
    </row>
    <row r="518" spans="2:10" ht="15.5">
      <c r="B518" s="4" t="s">
        <v>995</v>
      </c>
      <c r="C518" s="11" t="s">
        <v>952</v>
      </c>
      <c r="D518" s="46"/>
      <c r="E518" s="40" t="s">
        <v>14</v>
      </c>
      <c r="F518" s="32"/>
      <c r="G518" s="2" t="s">
        <v>919</v>
      </c>
      <c r="H518" s="2" t="str">
        <f>IF(G518="","",IF(G518="EKSPLORASI","EXP-"&amp;TEXT(COUNTIF($G$3:G518,G518),"000"),IF(G518="HSE","HSE-"&amp;TEXT(COUNTIF($G$3:G518,G518),"000"),IF(G518="QAQC","QAQC-"&amp;TEXT(COUNTIF($G$3:G518,G518),"000"),IF(G518="HCGA","HCGA-"&amp;TEXT(COUNTIF($G$3:G518,G518),"000"),IF(G518="MAINTENANCE","MNT-"&amp;TEXT(COUNTIF($G$3:G518,G518),"000"),IF(G518="CIVIL","CIV-"&amp;TEXT(COUNTIF($G$3:G518,G518),"000"),IF(G518="GANIS","GAN-"&amp;TEXT(COUNTIF($G$3:G518,G518),"000"),IF(G518="ENGINEERING","ENG-"&amp;TEXT(COUNTIF($G$3:G518,G518),"000"),IF(G518="PRODUKSI","PRO-"&amp;TEXT(COUNTIF($G$3:G518,G518),"000"),IF(G518="SURVEY","SUR-"&amp;TEXT(COUNTIF($G$3:G518,G518),"000"),"")))))))))))</f>
        <v>MNT-018</v>
      </c>
      <c r="I518" s="3"/>
      <c r="J518" s="3"/>
    </row>
    <row r="519" spans="2:10" ht="15.5">
      <c r="B519" s="4" t="s">
        <v>997</v>
      </c>
      <c r="C519" s="11" t="s">
        <v>954</v>
      </c>
      <c r="D519" s="46"/>
      <c r="E519" s="40" t="s">
        <v>14</v>
      </c>
      <c r="F519" s="32"/>
      <c r="G519" s="2" t="s">
        <v>919</v>
      </c>
      <c r="H519" s="2" t="str">
        <f>IF(G519="","",IF(G519="EKSPLORASI","EXP-"&amp;TEXT(COUNTIF($G$3:G519,G519),"000"),IF(G519="HSE","HSE-"&amp;TEXT(COUNTIF($G$3:G519,G519),"000"),IF(G519="QAQC","QAQC-"&amp;TEXT(COUNTIF($G$3:G519,G519),"000"),IF(G519="HCGA","HCGA-"&amp;TEXT(COUNTIF($G$3:G519,G519),"000"),IF(G519="MAINTENANCE","MNT-"&amp;TEXT(COUNTIF($G$3:G519,G519),"000"),IF(G519="CIVIL","CIV-"&amp;TEXT(COUNTIF($G$3:G519,G519),"000"),IF(G519="GANIS","GAN-"&amp;TEXT(COUNTIF($G$3:G519,G519),"000"),IF(G519="ENGINEERING","ENG-"&amp;TEXT(COUNTIF($G$3:G519,G519),"000"),IF(G519="PRODUKSI","PRO-"&amp;TEXT(COUNTIF($G$3:G519,G519),"000"),IF(G519="SURVEY","SUR-"&amp;TEXT(COUNTIF($G$3:G519,G519),"000"),"")))))))))))</f>
        <v>MNT-019</v>
      </c>
      <c r="I519" s="3"/>
      <c r="J519" s="3"/>
    </row>
    <row r="520" spans="2:10" ht="15.5">
      <c r="B520" s="4" t="s">
        <v>999</v>
      </c>
      <c r="C520" s="11" t="s">
        <v>168</v>
      </c>
      <c r="D520" s="46"/>
      <c r="E520" s="40" t="s">
        <v>14</v>
      </c>
      <c r="F520" s="32"/>
      <c r="G520" s="2" t="s">
        <v>919</v>
      </c>
      <c r="H520" s="2" t="str">
        <f>IF(G520="","",IF(G520="EKSPLORASI","EXP-"&amp;TEXT(COUNTIF($G$3:G520,G520),"000"),IF(G520="HSE","HSE-"&amp;TEXT(COUNTIF($G$3:G520,G520),"000"),IF(G520="QAQC","QAQC-"&amp;TEXT(COUNTIF($G$3:G520,G520),"000"),IF(G520="HCGA","HCGA-"&amp;TEXT(COUNTIF($G$3:G520,G520),"000"),IF(G520="MAINTENANCE","MNT-"&amp;TEXT(COUNTIF($G$3:G520,G520),"000"),IF(G520="CIVIL","CIV-"&amp;TEXT(COUNTIF($G$3:G520,G520),"000"),IF(G520="GANIS","GAN-"&amp;TEXT(COUNTIF($G$3:G520,G520),"000"),IF(G520="ENGINEERING","ENG-"&amp;TEXT(COUNTIF($G$3:G520,G520),"000"),IF(G520="PRODUKSI","PRO-"&amp;TEXT(COUNTIF($G$3:G520,G520),"000"),IF(G520="SURVEY","SUR-"&amp;TEXT(COUNTIF($G$3:G520,G520),"000"),"")))))))))))</f>
        <v>MNT-020</v>
      </c>
      <c r="I520" s="3"/>
      <c r="J520" s="3"/>
    </row>
    <row r="521" spans="2:10" ht="15.5">
      <c r="B521" s="4" t="s">
        <v>1001</v>
      </c>
      <c r="C521" s="11" t="s">
        <v>957</v>
      </c>
      <c r="D521" s="46"/>
      <c r="E521" s="40" t="s">
        <v>14</v>
      </c>
      <c r="F521" s="32"/>
      <c r="G521" s="2" t="s">
        <v>919</v>
      </c>
      <c r="H521" s="2" t="str">
        <f>IF(G521="","",IF(G521="EKSPLORASI","EXP-"&amp;TEXT(COUNTIF($G$3:G521,G521),"000"),IF(G521="HSE","HSE-"&amp;TEXT(COUNTIF($G$3:G521,G521),"000"),IF(G521="QAQC","QAQC-"&amp;TEXT(COUNTIF($G$3:G521,G521),"000"),IF(G521="HCGA","HCGA-"&amp;TEXT(COUNTIF($G$3:G521,G521),"000"),IF(G521="MAINTENANCE","MNT-"&amp;TEXT(COUNTIF($G$3:G521,G521),"000"),IF(G521="CIVIL","CIV-"&amp;TEXT(COUNTIF($G$3:G521,G521),"000"),IF(G521="GANIS","GAN-"&amp;TEXT(COUNTIF($G$3:G521,G521),"000"),IF(G521="ENGINEERING","ENG-"&amp;TEXT(COUNTIF($G$3:G521,G521),"000"),IF(G521="PRODUKSI","PRO-"&amp;TEXT(COUNTIF($G$3:G521,G521),"000"),IF(G521="SURVEY","SUR-"&amp;TEXT(COUNTIF($G$3:G521,G521),"000"),"")))))))))))</f>
        <v>MNT-021</v>
      </c>
      <c r="I521" s="3"/>
      <c r="J521" s="3"/>
    </row>
    <row r="522" spans="2:10" ht="15.5">
      <c r="B522" s="4" t="s">
        <v>1003</v>
      </c>
      <c r="C522" s="11" t="s">
        <v>959</v>
      </c>
      <c r="D522" s="46"/>
      <c r="E522" s="40" t="s">
        <v>14</v>
      </c>
      <c r="F522" s="32"/>
      <c r="G522" s="2" t="s">
        <v>919</v>
      </c>
      <c r="H522" s="2" t="str">
        <f>IF(G522="","",IF(G522="EKSPLORASI","EXP-"&amp;TEXT(COUNTIF($G$3:G522,G522),"000"),IF(G522="HSE","HSE-"&amp;TEXT(COUNTIF($G$3:G522,G522),"000"),IF(G522="QAQC","QAQC-"&amp;TEXT(COUNTIF($G$3:G522,G522),"000"),IF(G522="HCGA","HCGA-"&amp;TEXT(COUNTIF($G$3:G522,G522),"000"),IF(G522="MAINTENANCE","MNT-"&amp;TEXT(COUNTIF($G$3:G522,G522),"000"),IF(G522="CIVIL","CIV-"&amp;TEXT(COUNTIF($G$3:G522,G522),"000"),IF(G522="GANIS","GAN-"&amp;TEXT(COUNTIF($G$3:G522,G522),"000"),IF(G522="ENGINEERING","ENG-"&amp;TEXT(COUNTIF($G$3:G522,G522),"000"),IF(G522="PRODUKSI","PRO-"&amp;TEXT(COUNTIF($G$3:G522,G522),"000"),IF(G522="SURVEY","SUR-"&amp;TEXT(COUNTIF($G$3:G522,G522),"000"),"")))))))))))</f>
        <v>MNT-022</v>
      </c>
      <c r="I522" s="3"/>
      <c r="J522" s="3"/>
    </row>
    <row r="523" spans="2:10" ht="15.5">
      <c r="B523" s="4" t="s">
        <v>1005</v>
      </c>
      <c r="C523" s="11" t="s">
        <v>961</v>
      </c>
      <c r="D523" s="46"/>
      <c r="E523" s="40" t="s">
        <v>14</v>
      </c>
      <c r="F523" s="32"/>
      <c r="G523" s="2" t="s">
        <v>919</v>
      </c>
      <c r="H523" s="2" t="str">
        <f>IF(G523="","",IF(G523="EKSPLORASI","EXP-"&amp;TEXT(COUNTIF($G$3:G523,G523),"000"),IF(G523="HSE","HSE-"&amp;TEXT(COUNTIF($G$3:G523,G523),"000"),IF(G523="QAQC","QAQC-"&amp;TEXT(COUNTIF($G$3:G523,G523),"000"),IF(G523="HCGA","HCGA-"&amp;TEXT(COUNTIF($G$3:G523,G523),"000"),IF(G523="MAINTENANCE","MNT-"&amp;TEXT(COUNTIF($G$3:G523,G523),"000"),IF(G523="CIVIL","CIV-"&amp;TEXT(COUNTIF($G$3:G523,G523),"000"),IF(G523="GANIS","GAN-"&amp;TEXT(COUNTIF($G$3:G523,G523),"000"),IF(G523="ENGINEERING","ENG-"&amp;TEXT(COUNTIF($G$3:G523,G523),"000"),IF(G523="PRODUKSI","PRO-"&amp;TEXT(COUNTIF($G$3:G523,G523),"000"),IF(G523="SURVEY","SUR-"&amp;TEXT(COUNTIF($G$3:G523,G523),"000"),"")))))))))))</f>
        <v>MNT-023</v>
      </c>
      <c r="I523" s="3"/>
      <c r="J523" s="3"/>
    </row>
    <row r="524" spans="2:10" ht="15.5">
      <c r="B524" s="4" t="s">
        <v>1007</v>
      </c>
      <c r="C524" s="11" t="s">
        <v>963</v>
      </c>
      <c r="D524" s="46"/>
      <c r="E524" s="40" t="s">
        <v>14</v>
      </c>
      <c r="F524" s="32"/>
      <c r="G524" s="2" t="s">
        <v>919</v>
      </c>
      <c r="H524" s="2" t="str">
        <f>IF(G524="","",IF(G524="EKSPLORASI","EXP-"&amp;TEXT(COUNTIF($G$3:G524,G524),"000"),IF(G524="HSE","HSE-"&amp;TEXT(COUNTIF($G$3:G524,G524),"000"),IF(G524="QAQC","QAQC-"&amp;TEXT(COUNTIF($G$3:G524,G524),"000"),IF(G524="HCGA","HCGA-"&amp;TEXT(COUNTIF($G$3:G524,G524),"000"),IF(G524="MAINTENANCE","MNT-"&amp;TEXT(COUNTIF($G$3:G524,G524),"000"),IF(G524="CIVIL","CIV-"&amp;TEXT(COUNTIF($G$3:G524,G524),"000"),IF(G524="GANIS","GAN-"&amp;TEXT(COUNTIF($G$3:G524,G524),"000"),IF(G524="ENGINEERING","ENG-"&amp;TEXT(COUNTIF($G$3:G524,G524),"000"),IF(G524="PRODUKSI","PRO-"&amp;TEXT(COUNTIF($G$3:G524,G524),"000"),IF(G524="SURVEY","SUR-"&amp;TEXT(COUNTIF($G$3:G524,G524),"000"),"")))))))))))</f>
        <v>MNT-024</v>
      </c>
      <c r="I524" s="3"/>
      <c r="J524" s="3"/>
    </row>
    <row r="525" spans="2:10" ht="15.5">
      <c r="B525" s="4" t="s">
        <v>1009</v>
      </c>
      <c r="C525" s="10" t="s">
        <v>965</v>
      </c>
      <c r="D525" s="46"/>
      <c r="E525" s="40" t="s">
        <v>14</v>
      </c>
      <c r="F525" s="32"/>
      <c r="G525" s="2" t="s">
        <v>919</v>
      </c>
      <c r="H525" s="2" t="str">
        <f>IF(G525="","",IF(G525="EKSPLORASI","EXP-"&amp;TEXT(COUNTIF($G$3:G525,G525),"000"),IF(G525="HSE","HSE-"&amp;TEXT(COUNTIF($G$3:G525,G525),"000"),IF(G525="QAQC","QAQC-"&amp;TEXT(COUNTIF($G$3:G525,G525),"000"),IF(G525="HCGA","HCGA-"&amp;TEXT(COUNTIF($G$3:G525,G525),"000"),IF(G525="MAINTENANCE","MNT-"&amp;TEXT(COUNTIF($G$3:G525,G525),"000"),IF(G525="CIVIL","CIV-"&amp;TEXT(COUNTIF($G$3:G525,G525),"000"),IF(G525="GANIS","GAN-"&amp;TEXT(COUNTIF($G$3:G525,G525),"000"),IF(G525="ENGINEERING","ENG-"&amp;TEXT(COUNTIF($G$3:G525,G525),"000"),IF(G525="PRODUKSI","PRO-"&amp;TEXT(COUNTIF($G$3:G525,G525),"000"),IF(G525="SURVEY","SUR-"&amp;TEXT(COUNTIF($G$3:G525,G525),"000"),"")))))))))))</f>
        <v>MNT-025</v>
      </c>
      <c r="I525" s="3"/>
      <c r="J525" s="3"/>
    </row>
    <row r="526" spans="2:10" ht="15.5">
      <c r="B526" s="4" t="s">
        <v>1010</v>
      </c>
      <c r="C526" s="10" t="s">
        <v>967</v>
      </c>
      <c r="D526" s="46">
        <v>250000</v>
      </c>
      <c r="E526" s="40" t="s">
        <v>14</v>
      </c>
      <c r="F526" s="32" t="s">
        <v>1181</v>
      </c>
      <c r="G526" s="2" t="s">
        <v>919</v>
      </c>
      <c r="H526" s="2" t="str">
        <f>IF(G526="","",IF(G526="EKSPLORASI","EXP-"&amp;TEXT(COUNTIF($G$3:G526,G526),"000"),IF(G526="HSE","HSE-"&amp;TEXT(COUNTIF($G$3:G526,G526),"000"),IF(G526="QAQC","QAQC-"&amp;TEXT(COUNTIF($G$3:G526,G526),"000"),IF(G526="HCGA","HCGA-"&amp;TEXT(COUNTIF($G$3:G526,G526),"000"),IF(G526="MAINTENANCE","MNT-"&amp;TEXT(COUNTIF($G$3:G526,G526),"000"),IF(G526="CIVIL","CIV-"&amp;TEXT(COUNTIF($G$3:G526,G526),"000"),IF(G526="GANIS","GAN-"&amp;TEXT(COUNTIF($G$3:G526,G526),"000"),IF(G526="ENGINEERING","ENG-"&amp;TEXT(COUNTIF($G$3:G526,G526),"000"),IF(G526="PRODUKSI","PRO-"&amp;TEXT(COUNTIF($G$3:G526,G526),"000"),IF(G526="SURVEY","SUR-"&amp;TEXT(COUNTIF($G$3:G526,G526),"000"),"")))))))))))</f>
        <v>MNT-026</v>
      </c>
      <c r="I526" s="3"/>
      <c r="J526" s="3"/>
    </row>
    <row r="527" spans="2:10" ht="15.5">
      <c r="B527" s="4" t="s">
        <v>1012</v>
      </c>
      <c r="C527" s="10" t="s">
        <v>969</v>
      </c>
      <c r="D527" s="46"/>
      <c r="E527" s="40" t="s">
        <v>14</v>
      </c>
      <c r="F527" s="32"/>
      <c r="G527" s="2" t="s">
        <v>919</v>
      </c>
      <c r="H527" s="2" t="str">
        <f>IF(G527="","",IF(G527="EKSPLORASI","EXP-"&amp;TEXT(COUNTIF($G$3:G527,G527),"000"),IF(G527="HSE","HSE-"&amp;TEXT(COUNTIF($G$3:G527,G527),"000"),IF(G527="QAQC","QAQC-"&amp;TEXT(COUNTIF($G$3:G527,G527),"000"),IF(G527="HCGA","HCGA-"&amp;TEXT(COUNTIF($G$3:G527,G527),"000"),IF(G527="MAINTENANCE","MNT-"&amp;TEXT(COUNTIF($G$3:G527,G527),"000"),IF(G527="CIVIL","CIV-"&amp;TEXT(COUNTIF($G$3:G527,G527),"000"),IF(G527="GANIS","GAN-"&amp;TEXT(COUNTIF($G$3:G527,G527),"000"),IF(G527="ENGINEERING","ENG-"&amp;TEXT(COUNTIF($G$3:G527,G527),"000"),IF(G527="PRODUKSI","PRO-"&amp;TEXT(COUNTIF($G$3:G527,G527),"000"),IF(G527="SURVEY","SUR-"&amp;TEXT(COUNTIF($G$3:G527,G527),"000"),"")))))))))))</f>
        <v>MNT-027</v>
      </c>
      <c r="I527" s="3"/>
      <c r="J527" s="3"/>
    </row>
    <row r="528" spans="2:10" ht="15.5">
      <c r="B528" s="4" t="s">
        <v>1013</v>
      </c>
      <c r="C528" s="10" t="s">
        <v>971</v>
      </c>
      <c r="D528" s="46"/>
      <c r="E528" s="40" t="s">
        <v>14</v>
      </c>
      <c r="F528" s="32"/>
      <c r="G528" s="2" t="s">
        <v>919</v>
      </c>
      <c r="H528" s="2" t="str">
        <f>IF(G528="","",IF(G528="EKSPLORASI","EXP-"&amp;TEXT(COUNTIF($G$3:G528,G528),"000"),IF(G528="HSE","HSE-"&amp;TEXT(COUNTIF($G$3:G528,G528),"000"),IF(G528="QAQC","QAQC-"&amp;TEXT(COUNTIF($G$3:G528,G528),"000"),IF(G528="HCGA","HCGA-"&amp;TEXT(COUNTIF($G$3:G528,G528),"000"),IF(G528="MAINTENANCE","MNT-"&amp;TEXT(COUNTIF($G$3:G528,G528),"000"),IF(G528="CIVIL","CIV-"&amp;TEXT(COUNTIF($G$3:G528,G528),"000"),IF(G528="GANIS","GAN-"&amp;TEXT(COUNTIF($G$3:G528,G528),"000"),IF(G528="ENGINEERING","ENG-"&amp;TEXT(COUNTIF($G$3:G528,G528),"000"),IF(G528="PRODUKSI","PRO-"&amp;TEXT(COUNTIF($G$3:G528,G528),"000"),IF(G528="SURVEY","SUR-"&amp;TEXT(COUNTIF($G$3:G528,G528),"000"),"")))))))))))</f>
        <v>MNT-028</v>
      </c>
      <c r="I528" s="3"/>
      <c r="J528" s="3"/>
    </row>
    <row r="529" spans="2:10" ht="15.5">
      <c r="B529" s="4" t="s">
        <v>1014</v>
      </c>
      <c r="C529" s="10" t="s">
        <v>973</v>
      </c>
      <c r="D529" s="46"/>
      <c r="E529" s="40" t="s">
        <v>43</v>
      </c>
      <c r="F529" s="32"/>
      <c r="G529" s="2" t="s">
        <v>919</v>
      </c>
      <c r="H529" s="2" t="str">
        <f>IF(G529="","",IF(G529="EKSPLORASI","EXP-"&amp;TEXT(COUNTIF($G$3:G529,G529),"000"),IF(G529="HSE","HSE-"&amp;TEXT(COUNTIF($G$3:G529,G529),"000"),IF(G529="QAQC","QAQC-"&amp;TEXT(COUNTIF($G$3:G529,G529),"000"),IF(G529="HCGA","HCGA-"&amp;TEXT(COUNTIF($G$3:G529,G529),"000"),IF(G529="MAINTENANCE","MNT-"&amp;TEXT(COUNTIF($G$3:G529,G529),"000"),IF(G529="CIVIL","CIV-"&amp;TEXT(COUNTIF($G$3:G529,G529),"000"),IF(G529="GANIS","GAN-"&amp;TEXT(COUNTIF($G$3:G529,G529),"000"),IF(G529="ENGINEERING","ENG-"&amp;TEXT(COUNTIF($G$3:G529,G529),"000"),IF(G529="PRODUKSI","PRO-"&amp;TEXT(COUNTIF($G$3:G529,G529),"000"),IF(G529="SURVEY","SUR-"&amp;TEXT(COUNTIF($G$3:G529,G529),"000"),"")))))))))))</f>
        <v>MNT-029</v>
      </c>
      <c r="I529" s="3"/>
      <c r="J529" s="3"/>
    </row>
    <row r="530" spans="2:10" ht="15.5">
      <c r="B530" s="4" t="s">
        <v>1015</v>
      </c>
      <c r="C530" s="10" t="s">
        <v>975</v>
      </c>
      <c r="D530" s="46"/>
      <c r="E530" s="40" t="s">
        <v>14</v>
      </c>
      <c r="F530" s="32"/>
      <c r="G530" s="2" t="s">
        <v>919</v>
      </c>
      <c r="H530" s="2" t="str">
        <f>IF(G530="","",IF(G530="EKSPLORASI","EXP-"&amp;TEXT(COUNTIF($G$3:G530,G530),"000"),IF(G530="HSE","HSE-"&amp;TEXT(COUNTIF($G$3:G530,G530),"000"),IF(G530="QAQC","QAQC-"&amp;TEXT(COUNTIF($G$3:G530,G530),"000"),IF(G530="HCGA","HCGA-"&amp;TEXT(COUNTIF($G$3:G530,G530),"000"),IF(G530="MAINTENANCE","MNT-"&amp;TEXT(COUNTIF($G$3:G530,G530),"000"),IF(G530="CIVIL","CIV-"&amp;TEXT(COUNTIF($G$3:G530,G530),"000"),IF(G530="GANIS","GAN-"&amp;TEXT(COUNTIF($G$3:G530,G530),"000"),IF(G530="ENGINEERING","ENG-"&amp;TEXT(COUNTIF($G$3:G530,G530),"000"),IF(G530="PRODUKSI","PRO-"&amp;TEXT(COUNTIF($G$3:G530,G530),"000"),IF(G530="SURVEY","SUR-"&amp;TEXT(COUNTIF($G$3:G530,G530),"000"),"")))))))))))</f>
        <v>MNT-030</v>
      </c>
      <c r="I530" s="3"/>
      <c r="J530" s="3"/>
    </row>
    <row r="531" spans="2:10" ht="15.5">
      <c r="B531" s="4" t="s">
        <v>1016</v>
      </c>
      <c r="C531" s="10" t="s">
        <v>977</v>
      </c>
      <c r="D531" s="46"/>
      <c r="E531" s="40" t="s">
        <v>14</v>
      </c>
      <c r="F531" s="32"/>
      <c r="G531" s="2" t="s">
        <v>919</v>
      </c>
      <c r="H531" s="2" t="str">
        <f>IF(G531="","",IF(G531="EKSPLORASI","EXP-"&amp;TEXT(COUNTIF($G$3:G531,G531),"000"),IF(G531="HSE","HSE-"&amp;TEXT(COUNTIF($G$3:G531,G531),"000"),IF(G531="QAQC","QAQC-"&amp;TEXT(COUNTIF($G$3:G531,G531),"000"),IF(G531="HCGA","HCGA-"&amp;TEXT(COUNTIF($G$3:G531,G531),"000"),IF(G531="MAINTENANCE","MNT-"&amp;TEXT(COUNTIF($G$3:G531,G531),"000"),IF(G531="CIVIL","CIV-"&amp;TEXT(COUNTIF($G$3:G531,G531),"000"),IF(G531="GANIS","GAN-"&amp;TEXT(COUNTIF($G$3:G531,G531),"000"),IF(G531="ENGINEERING","ENG-"&amp;TEXT(COUNTIF($G$3:G531,G531),"000"),IF(G531="PRODUKSI","PRO-"&amp;TEXT(COUNTIF($G$3:G531,G531),"000"),IF(G531="SURVEY","SUR-"&amp;TEXT(COUNTIF($G$3:G531,G531),"000"),"")))))))))))</f>
        <v>MNT-031</v>
      </c>
      <c r="I531" s="3"/>
      <c r="J531" s="3"/>
    </row>
    <row r="532" spans="2:10" ht="15.5">
      <c r="B532" s="4" t="s">
        <v>1018</v>
      </c>
      <c r="C532" s="10" t="s">
        <v>979</v>
      </c>
      <c r="D532" s="46"/>
      <c r="E532" s="40" t="s">
        <v>43</v>
      </c>
      <c r="F532" s="32"/>
      <c r="G532" s="2" t="s">
        <v>919</v>
      </c>
      <c r="H532" s="2" t="str">
        <f>IF(G532="","",IF(G532="EKSPLORASI","EXP-"&amp;TEXT(COUNTIF($G$3:G532,G532),"000"),IF(G532="HSE","HSE-"&amp;TEXT(COUNTIF($G$3:G532,G532),"000"),IF(G532="QAQC","QAQC-"&amp;TEXT(COUNTIF($G$3:G532,G532),"000"),IF(G532="HCGA","HCGA-"&amp;TEXT(COUNTIF($G$3:G532,G532),"000"),IF(G532="MAINTENANCE","MNT-"&amp;TEXT(COUNTIF($G$3:G532,G532),"000"),IF(G532="CIVIL","CIV-"&amp;TEXT(COUNTIF($G$3:G532,G532),"000"),IF(G532="GANIS","GAN-"&amp;TEXT(COUNTIF($G$3:G532,G532),"000"),IF(G532="ENGINEERING","ENG-"&amp;TEXT(COUNTIF($G$3:G532,G532),"000"),IF(G532="PRODUKSI","PRO-"&amp;TEXT(COUNTIF($G$3:G532,G532),"000"),IF(G532="SURVEY","SUR-"&amp;TEXT(COUNTIF($G$3:G532,G532),"000"),"")))))))))))</f>
        <v>MNT-032</v>
      </c>
      <c r="I532" s="3"/>
      <c r="J532" s="3"/>
    </row>
    <row r="533" spans="2:10" ht="15.5">
      <c r="B533" s="4" t="s">
        <v>1020</v>
      </c>
      <c r="C533" s="10" t="s">
        <v>981</v>
      </c>
      <c r="D533" s="46"/>
      <c r="E533" s="40" t="s">
        <v>43</v>
      </c>
      <c r="F533" s="32"/>
      <c r="G533" s="2" t="s">
        <v>919</v>
      </c>
      <c r="H533" s="2" t="str">
        <f>IF(G533="","",IF(G533="EKSPLORASI","EXP-"&amp;TEXT(COUNTIF($G$3:G533,G533),"000"),IF(G533="HSE","HSE-"&amp;TEXT(COUNTIF($G$3:G533,G533),"000"),IF(G533="QAQC","QAQC-"&amp;TEXT(COUNTIF($G$3:G533,G533),"000"),IF(G533="HCGA","HCGA-"&amp;TEXT(COUNTIF($G$3:G533,G533),"000"),IF(G533="MAINTENANCE","MNT-"&amp;TEXT(COUNTIF($G$3:G533,G533),"000"),IF(G533="CIVIL","CIV-"&amp;TEXT(COUNTIF($G$3:G533,G533),"000"),IF(G533="GANIS","GAN-"&amp;TEXT(COUNTIF($G$3:G533,G533),"000"),IF(G533="ENGINEERING","ENG-"&amp;TEXT(COUNTIF($G$3:G533,G533),"000"),IF(G533="PRODUKSI","PRO-"&amp;TEXT(COUNTIF($G$3:G533,G533),"000"),IF(G533="SURVEY","SUR-"&amp;TEXT(COUNTIF($G$3:G533,G533),"000"),"")))))))))))</f>
        <v>MNT-033</v>
      </c>
      <c r="I533" s="3"/>
      <c r="J533" s="3"/>
    </row>
    <row r="534" spans="2:10" ht="15.5">
      <c r="B534" s="4" t="s">
        <v>1022</v>
      </c>
      <c r="C534" s="10" t="s">
        <v>983</v>
      </c>
      <c r="D534" s="46"/>
      <c r="E534" s="40" t="s">
        <v>43</v>
      </c>
      <c r="F534" s="32"/>
      <c r="G534" s="2" t="s">
        <v>919</v>
      </c>
      <c r="H534" s="2" t="str">
        <f>IF(G534="","",IF(G534="EKSPLORASI","EXP-"&amp;TEXT(COUNTIF($G$3:G534,G534),"000"),IF(G534="HSE","HSE-"&amp;TEXT(COUNTIF($G$3:G534,G534),"000"),IF(G534="QAQC","QAQC-"&amp;TEXT(COUNTIF($G$3:G534,G534),"000"),IF(G534="HCGA","HCGA-"&amp;TEXT(COUNTIF($G$3:G534,G534),"000"),IF(G534="MAINTENANCE","MNT-"&amp;TEXT(COUNTIF($G$3:G534,G534),"000"),IF(G534="CIVIL","CIV-"&amp;TEXT(COUNTIF($G$3:G534,G534),"000"),IF(G534="GANIS","GAN-"&amp;TEXT(COUNTIF($G$3:G534,G534),"000"),IF(G534="ENGINEERING","ENG-"&amp;TEXT(COUNTIF($G$3:G534,G534),"000"),IF(G534="PRODUKSI","PRO-"&amp;TEXT(COUNTIF($G$3:G534,G534),"000"),IF(G534="SURVEY","SUR-"&amp;TEXT(COUNTIF($G$3:G534,G534),"000"),"")))))))))))</f>
        <v>MNT-034</v>
      </c>
      <c r="I534" s="3"/>
      <c r="J534" s="3"/>
    </row>
    <row r="535" spans="2:10" ht="15.5">
      <c r="B535" s="4" t="s">
        <v>1024</v>
      </c>
      <c r="C535" s="10" t="s">
        <v>985</v>
      </c>
      <c r="D535" s="46"/>
      <c r="E535" s="40" t="s">
        <v>14</v>
      </c>
      <c r="F535" s="32"/>
      <c r="G535" s="2" t="s">
        <v>919</v>
      </c>
      <c r="H535" s="2" t="str">
        <f>IF(G535="","",IF(G535="EKSPLORASI","EXP-"&amp;TEXT(COUNTIF($G$3:G535,G535),"000"),IF(G535="HSE","HSE-"&amp;TEXT(COUNTIF($G$3:G535,G535),"000"),IF(G535="QAQC","QAQC-"&amp;TEXT(COUNTIF($G$3:G535,G535),"000"),IF(G535="HCGA","HCGA-"&amp;TEXT(COUNTIF($G$3:G535,G535),"000"),IF(G535="MAINTENANCE","MNT-"&amp;TEXT(COUNTIF($G$3:G535,G535),"000"),IF(G535="CIVIL","CIV-"&amp;TEXT(COUNTIF($G$3:G535,G535),"000"),IF(G535="GANIS","GAN-"&amp;TEXT(COUNTIF($G$3:G535,G535),"000"),IF(G535="ENGINEERING","ENG-"&amp;TEXT(COUNTIF($G$3:G535,G535),"000"),IF(G535="PRODUKSI","PRO-"&amp;TEXT(COUNTIF($G$3:G535,G535),"000"),IF(G535="SURVEY","SUR-"&amp;TEXT(COUNTIF($G$3:G535,G535),"000"),"")))))))))))</f>
        <v>MNT-035</v>
      </c>
      <c r="I535" s="3"/>
      <c r="J535" s="3"/>
    </row>
    <row r="536" spans="2:10" ht="15.5">
      <c r="B536" s="4" t="s">
        <v>1026</v>
      </c>
      <c r="C536" s="10" t="s">
        <v>987</v>
      </c>
      <c r="D536" s="46"/>
      <c r="E536" s="40" t="s">
        <v>14</v>
      </c>
      <c r="F536" s="32"/>
      <c r="G536" s="2" t="s">
        <v>919</v>
      </c>
      <c r="H536" s="2" t="str">
        <f>IF(G536="","",IF(G536="EKSPLORASI","EXP-"&amp;TEXT(COUNTIF($G$3:G536,G536),"000"),IF(G536="HSE","HSE-"&amp;TEXT(COUNTIF($G$3:G536,G536),"000"),IF(G536="QAQC","QAQC-"&amp;TEXT(COUNTIF($G$3:G536,G536),"000"),IF(G536="HCGA","HCGA-"&amp;TEXT(COUNTIF($G$3:G536,G536),"000"),IF(G536="MAINTENANCE","MNT-"&amp;TEXT(COUNTIF($G$3:G536,G536),"000"),IF(G536="CIVIL","CIV-"&amp;TEXT(COUNTIF($G$3:G536,G536),"000"),IF(G536="GANIS","GAN-"&amp;TEXT(COUNTIF($G$3:G536,G536),"000"),IF(G536="ENGINEERING","ENG-"&amp;TEXT(COUNTIF($G$3:G536,G536),"000"),IF(G536="PRODUKSI","PRO-"&amp;TEXT(COUNTIF($G$3:G536,G536),"000"),IF(G536="SURVEY","SUR-"&amp;TEXT(COUNTIF($G$3:G536,G536),"000"),"")))))))))))</f>
        <v>MNT-036</v>
      </c>
      <c r="I536" s="3"/>
      <c r="J536" s="3"/>
    </row>
    <row r="537" spans="2:10" ht="15.5">
      <c r="B537" s="4" t="s">
        <v>1028</v>
      </c>
      <c r="C537" s="10" t="s">
        <v>33</v>
      </c>
      <c r="D537" s="46">
        <v>50000</v>
      </c>
      <c r="E537" s="40" t="s">
        <v>235</v>
      </c>
      <c r="F537" s="34" t="s">
        <v>1085</v>
      </c>
      <c r="G537" s="2" t="s">
        <v>919</v>
      </c>
      <c r="H537" s="2" t="str">
        <f>IF(G537="","",IF(G537="EKSPLORASI","EXP-"&amp;TEXT(COUNTIF($G$3:G537,G537),"000"),IF(G537="HSE","HSE-"&amp;TEXT(COUNTIF($G$3:G537,G537),"000"),IF(G537="QAQC","QAQC-"&amp;TEXT(COUNTIF($G$3:G537,G537),"000"),IF(G537="HCGA","HCGA-"&amp;TEXT(COUNTIF($G$3:G537,G537),"000"),IF(G537="MAINTENANCE","MNT-"&amp;TEXT(COUNTIF($G$3:G537,G537),"000"),IF(G537="CIVIL","CIV-"&amp;TEXT(COUNTIF($G$3:G537,G537),"000"),IF(G537="GANIS","GAN-"&amp;TEXT(COUNTIF($G$3:G537,G537),"000"),IF(G537="ENGINEERING","ENG-"&amp;TEXT(COUNTIF($G$3:G537,G537),"000"),IF(G537="PRODUKSI","PRO-"&amp;TEXT(COUNTIF($G$3:G537,G537),"000"),IF(G537="SURVEY","SUR-"&amp;TEXT(COUNTIF($G$3:G537,G537),"000"),"")))))))))))</f>
        <v>MNT-037</v>
      </c>
      <c r="I537" s="3"/>
      <c r="J537" s="3"/>
    </row>
    <row r="538" spans="2:10" ht="15.5">
      <c r="B538" s="4" t="s">
        <v>1029</v>
      </c>
      <c r="C538" s="10" t="s">
        <v>990</v>
      </c>
      <c r="D538" s="46"/>
      <c r="E538" s="40" t="s">
        <v>14</v>
      </c>
      <c r="F538" s="32"/>
      <c r="G538" s="2" t="s">
        <v>919</v>
      </c>
      <c r="H538" s="2" t="str">
        <f>IF(G538="","",IF(G538="EKSPLORASI","EXP-"&amp;TEXT(COUNTIF($G$3:G538,G538),"000"),IF(G538="HSE","HSE-"&amp;TEXT(COUNTIF($G$3:G538,G538),"000"),IF(G538="QAQC","QAQC-"&amp;TEXT(COUNTIF($G$3:G538,G538),"000"),IF(G538="HCGA","HCGA-"&amp;TEXT(COUNTIF($G$3:G538,G538),"000"),IF(G538="MAINTENANCE","MNT-"&amp;TEXT(COUNTIF($G$3:G538,G538),"000"),IF(G538="CIVIL","CIV-"&amp;TEXT(COUNTIF($G$3:G538,G538),"000"),IF(G538="GANIS","GAN-"&amp;TEXT(COUNTIF($G$3:G538,G538),"000"),IF(G538="ENGINEERING","ENG-"&amp;TEXT(COUNTIF($G$3:G538,G538),"000"),IF(G538="PRODUKSI","PRO-"&amp;TEXT(COUNTIF($G$3:G538,G538),"000"),IF(G538="SURVEY","SUR-"&amp;TEXT(COUNTIF($G$3:G538,G538),"000"),"")))))))))))</f>
        <v>MNT-038</v>
      </c>
      <c r="I538" s="3"/>
      <c r="J538" s="3"/>
    </row>
    <row r="539" spans="2:10" ht="15.5">
      <c r="B539" s="4" t="s">
        <v>1031</v>
      </c>
      <c r="C539" s="10" t="s">
        <v>248</v>
      </c>
      <c r="D539" s="46"/>
      <c r="E539" s="40" t="s">
        <v>14</v>
      </c>
      <c r="F539" s="32"/>
      <c r="G539" s="2" t="s">
        <v>919</v>
      </c>
      <c r="H539" s="2" t="str">
        <f>IF(G539="","",IF(G539="EKSPLORASI","EXP-"&amp;TEXT(COUNTIF($G$3:G539,G539),"000"),IF(G539="HSE","HSE-"&amp;TEXT(COUNTIF($G$3:G539,G539),"000"),IF(G539="QAQC","QAQC-"&amp;TEXT(COUNTIF($G$3:G539,G539),"000"),IF(G539="HCGA","HCGA-"&amp;TEXT(COUNTIF($G$3:G539,G539),"000"),IF(G539="MAINTENANCE","MNT-"&amp;TEXT(COUNTIF($G$3:G539,G539),"000"),IF(G539="CIVIL","CIV-"&amp;TEXT(COUNTIF($G$3:G539,G539),"000"),IF(G539="GANIS","GAN-"&amp;TEXT(COUNTIF($G$3:G539,G539),"000"),IF(G539="ENGINEERING","ENG-"&amp;TEXT(COUNTIF($G$3:G539,G539),"000"),IF(G539="PRODUKSI","PRO-"&amp;TEXT(COUNTIF($G$3:G539,G539),"000"),IF(G539="SURVEY","SUR-"&amp;TEXT(COUNTIF($G$3:G539,G539),"000"),"")))))))))))</f>
        <v>MNT-039</v>
      </c>
      <c r="I539" s="3"/>
      <c r="J539" s="3"/>
    </row>
    <row r="540" spans="2:10" ht="15.5">
      <c r="B540" s="4" t="s">
        <v>1033</v>
      </c>
      <c r="C540" s="10" t="s">
        <v>993</v>
      </c>
      <c r="D540" s="46"/>
      <c r="E540" s="40" t="s">
        <v>14</v>
      </c>
      <c r="F540" s="32"/>
      <c r="G540" s="2" t="s">
        <v>919</v>
      </c>
      <c r="H540" s="2" t="str">
        <f>IF(G540="","",IF(G540="EKSPLORASI","EXP-"&amp;TEXT(COUNTIF($G$3:G540,G540),"000"),IF(G540="HSE","HSE-"&amp;TEXT(COUNTIF($G$3:G540,G540),"000"),IF(G540="QAQC","QAQC-"&amp;TEXT(COUNTIF($G$3:G540,G540),"000"),IF(G540="HCGA","HCGA-"&amp;TEXT(COUNTIF($G$3:G540,G540),"000"),IF(G540="MAINTENANCE","MNT-"&amp;TEXT(COUNTIF($G$3:G540,G540),"000"),IF(G540="CIVIL","CIV-"&amp;TEXT(COUNTIF($G$3:G540,G540),"000"),IF(G540="GANIS","GAN-"&amp;TEXT(COUNTIF($G$3:G540,G540),"000"),IF(G540="ENGINEERING","ENG-"&amp;TEXT(COUNTIF($G$3:G540,G540),"000"),IF(G540="PRODUKSI","PRO-"&amp;TEXT(COUNTIF($G$3:G540,G540),"000"),IF(G540="SURVEY","SUR-"&amp;TEXT(COUNTIF($G$3:G540,G540),"000"),"")))))))))))</f>
        <v>MNT-040</v>
      </c>
      <c r="I540" s="3"/>
      <c r="J540" s="3"/>
    </row>
    <row r="541" spans="2:10" ht="15.5">
      <c r="B541" s="4" t="s">
        <v>1034</v>
      </c>
      <c r="C541" s="10" t="s">
        <v>830</v>
      </c>
      <c r="D541" s="46"/>
      <c r="E541" s="40" t="s">
        <v>14</v>
      </c>
      <c r="F541" s="32"/>
      <c r="G541" s="2" t="s">
        <v>919</v>
      </c>
      <c r="H541" s="2" t="str">
        <f>IF(G541="","",IF(G541="EKSPLORASI","EXP-"&amp;TEXT(COUNTIF($G$3:G541,G541),"000"),IF(G541="HSE","HSE-"&amp;TEXT(COUNTIF($G$3:G541,G541),"000"),IF(G541="QAQC","QAQC-"&amp;TEXT(COUNTIF($G$3:G541,G541),"000"),IF(G541="HCGA","HCGA-"&amp;TEXT(COUNTIF($G$3:G541,G541),"000"),IF(G541="MAINTENANCE","MNT-"&amp;TEXT(COUNTIF($G$3:G541,G541),"000"),IF(G541="CIVIL","CIV-"&amp;TEXT(COUNTIF($G$3:G541,G541),"000"),IF(G541="GANIS","GAN-"&amp;TEXT(COUNTIF($G$3:G541,G541),"000"),IF(G541="ENGINEERING","ENG-"&amp;TEXT(COUNTIF($G$3:G541,G541),"000"),IF(G541="PRODUKSI","PRO-"&amp;TEXT(COUNTIF($G$3:G541,G541),"000"),IF(G541="SURVEY","SUR-"&amp;TEXT(COUNTIF($G$3:G541,G541),"000"),"")))))))))))</f>
        <v>MNT-041</v>
      </c>
      <c r="I541" s="3"/>
      <c r="J541" s="3"/>
    </row>
    <row r="542" spans="2:10" ht="15.5">
      <c r="B542" s="4" t="s">
        <v>1035</v>
      </c>
      <c r="C542" s="10" t="s">
        <v>996</v>
      </c>
      <c r="D542" s="46"/>
      <c r="E542" s="40" t="s">
        <v>235</v>
      </c>
      <c r="F542" s="32"/>
      <c r="G542" s="2" t="s">
        <v>919</v>
      </c>
      <c r="H542" s="2" t="str">
        <f>IF(G542="","",IF(G542="EKSPLORASI","EXP-"&amp;TEXT(COUNTIF($G$3:G542,G542),"000"),IF(G542="HSE","HSE-"&amp;TEXT(COUNTIF($G$3:G542,G542),"000"),IF(G542="QAQC","QAQC-"&amp;TEXT(COUNTIF($G$3:G542,G542),"000"),IF(G542="HCGA","HCGA-"&amp;TEXT(COUNTIF($G$3:G542,G542),"000"),IF(G542="MAINTENANCE","MNT-"&amp;TEXT(COUNTIF($G$3:G542,G542),"000"),IF(G542="CIVIL","CIV-"&amp;TEXT(COUNTIF($G$3:G542,G542),"000"),IF(G542="GANIS","GAN-"&amp;TEXT(COUNTIF($G$3:G542,G542),"000"),IF(G542="ENGINEERING","ENG-"&amp;TEXT(COUNTIF($G$3:G542,G542),"000"),IF(G542="PRODUKSI","PRO-"&amp;TEXT(COUNTIF($G$3:G542,G542),"000"),IF(G542="SURVEY","SUR-"&amp;TEXT(COUNTIF($G$3:G542,G542),"000"),"")))))))))))</f>
        <v>MNT-042</v>
      </c>
      <c r="I542" s="3"/>
      <c r="J542" s="3"/>
    </row>
    <row r="543" spans="2:10" ht="15.5">
      <c r="B543" s="4" t="s">
        <v>1037</v>
      </c>
      <c r="C543" s="26" t="s">
        <v>998</v>
      </c>
      <c r="D543" s="46"/>
      <c r="E543" s="40" t="s">
        <v>14</v>
      </c>
      <c r="F543" s="32"/>
      <c r="G543" s="2" t="s">
        <v>919</v>
      </c>
      <c r="H543" s="2" t="str">
        <f>IF(G543="","",IF(G543="EKSPLORASI","EXP-"&amp;TEXT(COUNTIF($G$3:G543,G543),"000"),IF(G543="HSE","HSE-"&amp;TEXT(COUNTIF($G$3:G543,G543),"000"),IF(G543="QAQC","QAQC-"&amp;TEXT(COUNTIF($G$3:G543,G543),"000"),IF(G543="HCGA","HCGA-"&amp;TEXT(COUNTIF($G$3:G543,G543),"000"),IF(G543="MAINTENANCE","MNT-"&amp;TEXT(COUNTIF($G$3:G543,G543),"000"),IF(G543="CIVIL","CIV-"&amp;TEXT(COUNTIF($G$3:G543,G543),"000"),IF(G543="GANIS","GAN-"&amp;TEXT(COUNTIF($G$3:G543,G543),"000"),IF(G543="ENGINEERING","ENG-"&amp;TEXT(COUNTIF($G$3:G543,G543),"000"),IF(G543="PRODUKSI","PRO-"&amp;TEXT(COUNTIF($G$3:G543,G543),"000"),IF(G543="SURVEY","SUR-"&amp;TEXT(COUNTIF($G$3:G543,G543),"000"),"")))))))))))</f>
        <v>MNT-043</v>
      </c>
      <c r="I543" s="3"/>
      <c r="J543" s="3"/>
    </row>
    <row r="544" spans="2:10" ht="15.5">
      <c r="B544" s="4" t="s">
        <v>1039</v>
      </c>
      <c r="C544" s="26" t="s">
        <v>1000</v>
      </c>
      <c r="D544" s="46"/>
      <c r="E544" s="40" t="s">
        <v>14</v>
      </c>
      <c r="F544" s="32"/>
      <c r="G544" s="2" t="s">
        <v>919</v>
      </c>
      <c r="H544" s="2" t="str">
        <f>IF(G544="","",IF(G544="EKSPLORASI","EXP-"&amp;TEXT(COUNTIF($G$3:G544,G544),"000"),IF(G544="HSE","HSE-"&amp;TEXT(COUNTIF($G$3:G544,G544),"000"),IF(G544="QAQC","QAQC-"&amp;TEXT(COUNTIF($G$3:G544,G544),"000"),IF(G544="HCGA","HCGA-"&amp;TEXT(COUNTIF($G$3:G544,G544),"000"),IF(G544="MAINTENANCE","MNT-"&amp;TEXT(COUNTIF($G$3:G544,G544),"000"),IF(G544="CIVIL","CIV-"&amp;TEXT(COUNTIF($G$3:G544,G544),"000"),IF(G544="GANIS","GAN-"&amp;TEXT(COUNTIF($G$3:G544,G544),"000"),IF(G544="ENGINEERING","ENG-"&amp;TEXT(COUNTIF($G$3:G544,G544),"000"),IF(G544="PRODUKSI","PRO-"&amp;TEXT(COUNTIF($G$3:G544,G544),"000"),IF(G544="SURVEY","SUR-"&amp;TEXT(COUNTIF($G$3:G544,G544),"000"),"")))))))))))</f>
        <v>MNT-044</v>
      </c>
      <c r="I544" s="3"/>
      <c r="J544" s="3"/>
    </row>
    <row r="545" spans="2:10" ht="15.5">
      <c r="B545" s="4" t="s">
        <v>1041</v>
      </c>
      <c r="C545" s="26" t="s">
        <v>1002</v>
      </c>
      <c r="D545" s="46"/>
      <c r="E545" s="40" t="s">
        <v>14</v>
      </c>
      <c r="F545" s="32"/>
      <c r="G545" s="2" t="s">
        <v>919</v>
      </c>
      <c r="H545" s="2" t="str">
        <f>IF(G545="","",IF(G545="EKSPLORASI","EXP-"&amp;TEXT(COUNTIF($G$3:G545,G545),"000"),IF(G545="HSE","HSE-"&amp;TEXT(COUNTIF($G$3:G545,G545),"000"),IF(G545="QAQC","QAQC-"&amp;TEXT(COUNTIF($G$3:G545,G545),"000"),IF(G545="HCGA","HCGA-"&amp;TEXT(COUNTIF($G$3:G545,G545),"000"),IF(G545="MAINTENANCE","MNT-"&amp;TEXT(COUNTIF($G$3:G545,G545),"000"),IF(G545="CIVIL","CIV-"&amp;TEXT(COUNTIF($G$3:G545,G545),"000"),IF(G545="GANIS","GAN-"&amp;TEXT(COUNTIF($G$3:G545,G545),"000"),IF(G545="ENGINEERING","ENG-"&amp;TEXT(COUNTIF($G$3:G545,G545),"000"),IF(G545="PRODUKSI","PRO-"&amp;TEXT(COUNTIF($G$3:G545,G545),"000"),IF(G545="SURVEY","SUR-"&amp;TEXT(COUNTIF($G$3:G545,G545),"000"),"")))))))))))</f>
        <v>MNT-045</v>
      </c>
      <c r="I545" s="3"/>
      <c r="J545" s="3"/>
    </row>
    <row r="546" spans="2:10" ht="15.5">
      <c r="B546" s="4" t="s">
        <v>1043</v>
      </c>
      <c r="C546" s="26" t="s">
        <v>1004</v>
      </c>
      <c r="D546" s="46"/>
      <c r="E546" s="40" t="s">
        <v>14</v>
      </c>
      <c r="F546" s="32"/>
      <c r="G546" s="2" t="s">
        <v>919</v>
      </c>
      <c r="H546" s="2" t="str">
        <f>IF(G546="","",IF(G546="EKSPLORASI","EXP-"&amp;TEXT(COUNTIF($G$3:G546,G546),"000"),IF(G546="HSE","HSE-"&amp;TEXT(COUNTIF($G$3:G546,G546),"000"),IF(G546="QAQC","QAQC-"&amp;TEXT(COUNTIF($G$3:G546,G546),"000"),IF(G546="HCGA","HCGA-"&amp;TEXT(COUNTIF($G$3:G546,G546),"000"),IF(G546="MAINTENANCE","MNT-"&amp;TEXT(COUNTIF($G$3:G546,G546),"000"),IF(G546="CIVIL","CIV-"&amp;TEXT(COUNTIF($G$3:G546,G546),"000"),IF(G546="GANIS","GAN-"&amp;TEXT(COUNTIF($G$3:G546,G546),"000"),IF(G546="ENGINEERING","ENG-"&amp;TEXT(COUNTIF($G$3:G546,G546),"000"),IF(G546="PRODUKSI","PRO-"&amp;TEXT(COUNTIF($G$3:G546,G546),"000"),IF(G546="SURVEY","SUR-"&amp;TEXT(COUNTIF($G$3:G546,G546),"000"),"")))))))))))</f>
        <v>MNT-046</v>
      </c>
      <c r="I546" s="3"/>
      <c r="J546" s="3"/>
    </row>
    <row r="547" spans="2:10" ht="15.5">
      <c r="B547" s="4" t="s">
        <v>1045</v>
      </c>
      <c r="C547" s="14" t="s">
        <v>1006</v>
      </c>
      <c r="D547" s="46"/>
      <c r="E547" s="40" t="s">
        <v>63</v>
      </c>
      <c r="F547" s="32"/>
      <c r="G547" s="2" t="s">
        <v>919</v>
      </c>
      <c r="H547" s="2" t="str">
        <f>IF(G547="","",IF(G547="EKSPLORASI","EXP-"&amp;TEXT(COUNTIF($G$3:G547,G547),"000"),IF(G547="HSE","HSE-"&amp;TEXT(COUNTIF($G$3:G547,G547),"000"),IF(G547="QAQC","QAQC-"&amp;TEXT(COUNTIF($G$3:G547,G547),"000"),IF(G547="HCGA","HCGA-"&amp;TEXT(COUNTIF($G$3:G547,G547),"000"),IF(G547="MAINTENANCE","MNT-"&amp;TEXT(COUNTIF($G$3:G547,G547),"000"),IF(G547="CIVIL","CIV-"&amp;TEXT(COUNTIF($G$3:G547,G547),"000"),IF(G547="GANIS","GAN-"&amp;TEXT(COUNTIF($G$3:G547,G547),"000"),IF(G547="ENGINEERING","ENG-"&amp;TEXT(COUNTIF($G$3:G547,G547),"000"),IF(G547="PRODUKSI","PRO-"&amp;TEXT(COUNTIF($G$3:G547,G547),"000"),IF(G547="SURVEY","SUR-"&amp;TEXT(COUNTIF($G$3:G547,G547),"000"),"")))))))))))</f>
        <v>MNT-047</v>
      </c>
      <c r="I547" s="3"/>
      <c r="J547" s="3"/>
    </row>
    <row r="548" spans="2:10" ht="15.5">
      <c r="B548" s="4" t="s">
        <v>1047</v>
      </c>
      <c r="C548" s="14" t="s">
        <v>1008</v>
      </c>
      <c r="D548" s="46"/>
      <c r="E548" s="40" t="s">
        <v>14</v>
      </c>
      <c r="F548" s="32"/>
      <c r="G548" s="2" t="s">
        <v>919</v>
      </c>
      <c r="H548" s="2" t="str">
        <f>IF(G548="","",IF(G548="EKSPLORASI","EXP-"&amp;TEXT(COUNTIF($G$3:G548,G548),"000"),IF(G548="HSE","HSE-"&amp;TEXT(COUNTIF($G$3:G548,G548),"000"),IF(G548="QAQC","QAQC-"&amp;TEXT(COUNTIF($G$3:G548,G548),"000"),IF(G548="HCGA","HCGA-"&amp;TEXT(COUNTIF($G$3:G548,G548),"000"),IF(G548="MAINTENANCE","MNT-"&amp;TEXT(COUNTIF($G$3:G548,G548),"000"),IF(G548="CIVIL","CIV-"&amp;TEXT(COUNTIF($G$3:G548,G548),"000"),IF(G548="GANIS","GAN-"&amp;TEXT(COUNTIF($G$3:G548,G548),"000"),IF(G548="ENGINEERING","ENG-"&amp;TEXT(COUNTIF($G$3:G548,G548),"000"),IF(G548="PRODUKSI","PRO-"&amp;TEXT(COUNTIF($G$3:G548,G548),"000"),IF(G548="SURVEY","SUR-"&amp;TEXT(COUNTIF($G$3:G548,G548),"000"),"")))))))))))</f>
        <v>MNT-048</v>
      </c>
      <c r="I548" s="3"/>
      <c r="J548" s="3"/>
    </row>
    <row r="549" spans="2:10" ht="15.5">
      <c r="B549" s="4" t="s">
        <v>1049</v>
      </c>
      <c r="C549" s="14" t="s">
        <v>412</v>
      </c>
      <c r="D549" s="46"/>
      <c r="E549" s="40" t="s">
        <v>14</v>
      </c>
      <c r="F549" s="32"/>
      <c r="G549" s="2" t="s">
        <v>919</v>
      </c>
      <c r="H549" s="2" t="str">
        <f>IF(G549="","",IF(G549="EKSPLORASI","EXP-"&amp;TEXT(COUNTIF($G$3:G549,G549),"000"),IF(G549="HSE","HSE-"&amp;TEXT(COUNTIF($G$3:G549,G549),"000"),IF(G549="QAQC","QAQC-"&amp;TEXT(COUNTIF($G$3:G549,G549),"000"),IF(G549="HCGA","HCGA-"&amp;TEXT(COUNTIF($G$3:G549,G549),"000"),IF(G549="MAINTENANCE","MNT-"&amp;TEXT(COUNTIF($G$3:G549,G549),"000"),IF(G549="CIVIL","CIV-"&amp;TEXT(COUNTIF($G$3:G549,G549),"000"),IF(G549="GANIS","GAN-"&amp;TEXT(COUNTIF($G$3:G549,G549),"000"),IF(G549="ENGINEERING","ENG-"&amp;TEXT(COUNTIF($G$3:G549,G549),"000"),IF(G549="PRODUKSI","PRO-"&amp;TEXT(COUNTIF($G$3:G549,G549),"000"),IF(G549="SURVEY","SUR-"&amp;TEXT(COUNTIF($G$3:G549,G549),"000"),"")))))))))))</f>
        <v>MNT-049</v>
      </c>
      <c r="I549" s="3"/>
      <c r="J549" s="3"/>
    </row>
    <row r="550" spans="2:10" ht="15.5">
      <c r="B550" s="4" t="s">
        <v>1050</v>
      </c>
      <c r="C550" s="14" t="s">
        <v>1011</v>
      </c>
      <c r="D550" s="46"/>
      <c r="E550" s="40" t="s">
        <v>25</v>
      </c>
      <c r="F550" s="32"/>
      <c r="G550" s="2" t="s">
        <v>919</v>
      </c>
      <c r="H550" s="2" t="str">
        <f>IF(G550="","",IF(G550="EKSPLORASI","EXP-"&amp;TEXT(COUNTIF($G$3:G550,G550),"000"),IF(G550="HSE","HSE-"&amp;TEXT(COUNTIF($G$3:G550,G550),"000"),IF(G550="QAQC","QAQC-"&amp;TEXT(COUNTIF($G$3:G550,G550),"000"),IF(G550="HCGA","HCGA-"&amp;TEXT(COUNTIF($G$3:G550,G550),"000"),IF(G550="MAINTENANCE","MNT-"&amp;TEXT(COUNTIF($G$3:G550,G550),"000"),IF(G550="CIVIL","CIV-"&amp;TEXT(COUNTIF($G$3:G550,G550),"000"),IF(G550="GANIS","GAN-"&amp;TEXT(COUNTIF($G$3:G550,G550),"000"),IF(G550="ENGINEERING","ENG-"&amp;TEXT(COUNTIF($G$3:G550,G550),"000"),IF(G550="PRODUKSI","PRO-"&amp;TEXT(COUNTIF($G$3:G550,G550),"000"),IF(G550="SURVEY","SUR-"&amp;TEXT(COUNTIF($G$3:G550,G550),"000"),"")))))))))))</f>
        <v>MNT-050</v>
      </c>
      <c r="I550" s="3"/>
      <c r="J550" s="3"/>
    </row>
    <row r="551" spans="2:10" ht="15.5">
      <c r="B551" s="4" t="s">
        <v>1052</v>
      </c>
      <c r="C551" s="14" t="s">
        <v>164</v>
      </c>
      <c r="D551" s="46"/>
      <c r="E551" s="40" t="s">
        <v>14</v>
      </c>
      <c r="F551" s="32"/>
      <c r="G551" s="2" t="s">
        <v>919</v>
      </c>
      <c r="H551" s="2" t="str">
        <f>IF(G551="","",IF(G551="EKSPLORASI","EXP-"&amp;TEXT(COUNTIF($G$3:G551,G551),"000"),IF(G551="HSE","HSE-"&amp;TEXT(COUNTIF($G$3:G551,G551),"000"),IF(G551="QAQC","QAQC-"&amp;TEXT(COUNTIF($G$3:G551,G551),"000"),IF(G551="HCGA","HCGA-"&amp;TEXT(COUNTIF($G$3:G551,G551),"000"),IF(G551="MAINTENANCE","MNT-"&amp;TEXT(COUNTIF($G$3:G551,G551),"000"),IF(G551="CIVIL","CIV-"&amp;TEXT(COUNTIF($G$3:G551,G551),"000"),IF(G551="GANIS","GAN-"&amp;TEXT(COUNTIF($G$3:G551,G551),"000"),IF(G551="ENGINEERING","ENG-"&amp;TEXT(COUNTIF($G$3:G551,G551),"000"),IF(G551="PRODUKSI","PRO-"&amp;TEXT(COUNTIF($G$3:G551,G551),"000"),IF(G551="SURVEY","SUR-"&amp;TEXT(COUNTIF($G$3:G551,G551),"000"),"")))))))))))</f>
        <v>MNT-051</v>
      </c>
      <c r="I551" s="3"/>
      <c r="J551" s="3"/>
    </row>
    <row r="552" spans="2:10" ht="15.5">
      <c r="B552" s="4" t="s">
        <v>1053</v>
      </c>
      <c r="C552" s="14" t="s">
        <v>166</v>
      </c>
      <c r="D552" s="46"/>
      <c r="E552" s="40" t="s">
        <v>14</v>
      </c>
      <c r="F552" s="32"/>
      <c r="G552" s="2" t="s">
        <v>919</v>
      </c>
      <c r="H552" s="2" t="str">
        <f>IF(G552="","",IF(G552="EKSPLORASI","EXP-"&amp;TEXT(COUNTIF($G$3:G552,G552),"000"),IF(G552="HSE","HSE-"&amp;TEXT(COUNTIF($G$3:G552,G552),"000"),IF(G552="QAQC","QAQC-"&amp;TEXT(COUNTIF($G$3:G552,G552),"000"),IF(G552="HCGA","HCGA-"&amp;TEXT(COUNTIF($G$3:G552,G552),"000"),IF(G552="MAINTENANCE","MNT-"&amp;TEXT(COUNTIF($G$3:G552,G552),"000"),IF(G552="CIVIL","CIV-"&amp;TEXT(COUNTIF($G$3:G552,G552),"000"),IF(G552="GANIS","GAN-"&amp;TEXT(COUNTIF($G$3:G552,G552),"000"),IF(G552="ENGINEERING","ENG-"&amp;TEXT(COUNTIF($G$3:G552,G552),"000"),IF(G552="PRODUKSI","PRO-"&amp;TEXT(COUNTIF($G$3:G552,G552),"000"),IF(G552="SURVEY","SUR-"&amp;TEXT(COUNTIF($G$3:G552,G552),"000"),"")))))))))))</f>
        <v>MNT-052</v>
      </c>
      <c r="I552" s="3"/>
      <c r="J552" s="3"/>
    </row>
    <row r="553" spans="2:10" ht="15.5">
      <c r="B553" s="4" t="s">
        <v>1054</v>
      </c>
      <c r="C553" s="14" t="s">
        <v>168</v>
      </c>
      <c r="D553" s="46"/>
      <c r="E553" s="40" t="s">
        <v>14</v>
      </c>
      <c r="F553" s="32"/>
      <c r="G553" s="2" t="s">
        <v>919</v>
      </c>
      <c r="H553" s="2" t="str">
        <f>IF(G553="","",IF(G553="EKSPLORASI","EXP-"&amp;TEXT(COUNTIF($G$3:G553,G553),"000"),IF(G553="HSE","HSE-"&amp;TEXT(COUNTIF($G$3:G553,G553),"000"),IF(G553="QAQC","QAQC-"&amp;TEXT(COUNTIF($G$3:G553,G553),"000"),IF(G553="HCGA","HCGA-"&amp;TEXT(COUNTIF($G$3:G553,G553),"000"),IF(G553="MAINTENANCE","MNT-"&amp;TEXT(COUNTIF($G$3:G553,G553),"000"),IF(G553="CIVIL","CIV-"&amp;TEXT(COUNTIF($G$3:G553,G553),"000"),IF(G553="GANIS","GAN-"&amp;TEXT(COUNTIF($G$3:G553,G553),"000"),IF(G553="ENGINEERING","ENG-"&amp;TEXT(COUNTIF($G$3:G553,G553),"000"),IF(G553="PRODUKSI","PRO-"&amp;TEXT(COUNTIF($G$3:G553,G553),"000"),IF(G553="SURVEY","SUR-"&amp;TEXT(COUNTIF($G$3:G553,G553),"000"),"")))))))))))</f>
        <v>MNT-053</v>
      </c>
      <c r="I553" s="3"/>
      <c r="J553" s="3"/>
    </row>
    <row r="554" spans="2:10" ht="15.5">
      <c r="B554" s="4" t="s">
        <v>1055</v>
      </c>
      <c r="C554" s="14" t="s">
        <v>691</v>
      </c>
      <c r="D554" s="46"/>
      <c r="E554" s="40" t="s">
        <v>14</v>
      </c>
      <c r="F554" s="32"/>
      <c r="G554" s="2" t="s">
        <v>919</v>
      </c>
      <c r="H554" s="2" t="str">
        <f>IF(G554="","",IF(G554="EKSPLORASI","EXP-"&amp;TEXT(COUNTIF($G$3:G554,G554),"000"),IF(G554="HSE","HSE-"&amp;TEXT(COUNTIF($G$3:G554,G554),"000"),IF(G554="QAQC","QAQC-"&amp;TEXT(COUNTIF($G$3:G554,G554),"000"),IF(G554="HCGA","HCGA-"&amp;TEXT(COUNTIF($G$3:G554,G554),"000"),IF(G554="MAINTENANCE","MNT-"&amp;TEXT(COUNTIF($G$3:G554,G554),"000"),IF(G554="CIVIL","CIV-"&amp;TEXT(COUNTIF($G$3:G554,G554),"000"),IF(G554="GANIS","GAN-"&amp;TEXT(COUNTIF($G$3:G554,G554),"000"),IF(G554="ENGINEERING","ENG-"&amp;TEXT(COUNTIF($G$3:G554,G554),"000"),IF(G554="PRODUKSI","PRO-"&amp;TEXT(COUNTIF($G$3:G554,G554),"000"),IF(G554="SURVEY","SUR-"&amp;TEXT(COUNTIF($G$3:G554,G554),"000"),"")))))))))))</f>
        <v>MNT-054</v>
      </c>
      <c r="I554" s="3"/>
      <c r="J554" s="3"/>
    </row>
    <row r="555" spans="2:10" ht="15.5">
      <c r="B555" s="4" t="s">
        <v>1056</v>
      </c>
      <c r="C555" s="14" t="s">
        <v>1017</v>
      </c>
      <c r="D555" s="46"/>
      <c r="E555" s="40" t="s">
        <v>14</v>
      </c>
      <c r="F555" s="32"/>
      <c r="G555" s="2" t="s">
        <v>919</v>
      </c>
      <c r="H555" s="2" t="str">
        <f>IF(G555="","",IF(G555="EKSPLORASI","EXP-"&amp;TEXT(COUNTIF($G$3:G555,G555),"000"),IF(G555="HSE","HSE-"&amp;TEXT(COUNTIF($G$3:G555,G555),"000"),IF(G555="QAQC","QAQC-"&amp;TEXT(COUNTIF($G$3:G555,G555),"000"),IF(G555="HCGA","HCGA-"&amp;TEXT(COUNTIF($G$3:G555,G555),"000"),IF(G555="MAINTENANCE","MNT-"&amp;TEXT(COUNTIF($G$3:G555,G555),"000"),IF(G555="CIVIL","CIV-"&amp;TEXT(COUNTIF($G$3:G555,G555),"000"),IF(G555="GANIS","GAN-"&amp;TEXT(COUNTIF($G$3:G555,G555),"000"),IF(G555="ENGINEERING","ENG-"&amp;TEXT(COUNTIF($G$3:G555,G555),"000"),IF(G555="PRODUKSI","PRO-"&amp;TEXT(COUNTIF($G$3:G555,G555),"000"),IF(G555="SURVEY","SUR-"&amp;TEXT(COUNTIF($G$3:G555,G555),"000"),"")))))))))))</f>
        <v>MNT-055</v>
      </c>
      <c r="I555" s="3"/>
      <c r="J555" s="3"/>
    </row>
    <row r="556" spans="2:10" ht="15.5">
      <c r="B556" s="4" t="s">
        <v>1057</v>
      </c>
      <c r="C556" s="14" t="s">
        <v>1019</v>
      </c>
      <c r="D556" s="46"/>
      <c r="E556" s="40" t="s">
        <v>14</v>
      </c>
      <c r="F556" s="32"/>
      <c r="G556" s="2" t="s">
        <v>919</v>
      </c>
      <c r="H556" s="2" t="str">
        <f>IF(G556="","",IF(G556="EKSPLORASI","EXP-"&amp;TEXT(COUNTIF($G$3:G556,G556),"000"),IF(G556="HSE","HSE-"&amp;TEXT(COUNTIF($G$3:G556,G556),"000"),IF(G556="QAQC","QAQC-"&amp;TEXT(COUNTIF($G$3:G556,G556),"000"),IF(G556="HCGA","HCGA-"&amp;TEXT(COUNTIF($G$3:G556,G556),"000"),IF(G556="MAINTENANCE","MNT-"&amp;TEXT(COUNTIF($G$3:G556,G556),"000"),IF(G556="CIVIL","CIV-"&amp;TEXT(COUNTIF($G$3:G556,G556),"000"),IF(G556="GANIS","GAN-"&amp;TEXT(COUNTIF($G$3:G556,G556),"000"),IF(G556="ENGINEERING","ENG-"&amp;TEXT(COUNTIF($G$3:G556,G556),"000"),IF(G556="PRODUKSI","PRO-"&amp;TEXT(COUNTIF($G$3:G556,G556),"000"),IF(G556="SURVEY","SUR-"&amp;TEXT(COUNTIF($G$3:G556,G556),"000"),"")))))))))))</f>
        <v>MNT-056</v>
      </c>
      <c r="I556" s="3"/>
      <c r="J556" s="3"/>
    </row>
    <row r="557" spans="2:10" ht="15.5">
      <c r="B557" s="4" t="s">
        <v>1059</v>
      </c>
      <c r="C557" s="14" t="s">
        <v>1021</v>
      </c>
      <c r="D557" s="46"/>
      <c r="E557" s="40" t="s">
        <v>14</v>
      </c>
      <c r="F557" s="32"/>
      <c r="G557" s="2" t="s">
        <v>919</v>
      </c>
      <c r="H557" s="2" t="str">
        <f>IF(G557="","",IF(G557="EKSPLORASI","EXP-"&amp;TEXT(COUNTIF($G$3:G557,G557),"000"),IF(G557="HSE","HSE-"&amp;TEXT(COUNTIF($G$3:G557,G557),"000"),IF(G557="QAQC","QAQC-"&amp;TEXT(COUNTIF($G$3:G557,G557),"000"),IF(G557="HCGA","HCGA-"&amp;TEXT(COUNTIF($G$3:G557,G557),"000"),IF(G557="MAINTENANCE","MNT-"&amp;TEXT(COUNTIF($G$3:G557,G557),"000"),IF(G557="CIVIL","CIV-"&amp;TEXT(COUNTIF($G$3:G557,G557),"000"),IF(G557="GANIS","GAN-"&amp;TEXT(COUNTIF($G$3:G557,G557),"000"),IF(G557="ENGINEERING","ENG-"&amp;TEXT(COUNTIF($G$3:G557,G557),"000"),IF(G557="PRODUKSI","PRO-"&amp;TEXT(COUNTIF($G$3:G557,G557),"000"),IF(G557="SURVEY","SUR-"&amp;TEXT(COUNTIF($G$3:G557,G557),"000"),"")))))))))))</f>
        <v>MNT-057</v>
      </c>
      <c r="I557" s="3"/>
      <c r="J557" s="3"/>
    </row>
    <row r="558" spans="2:10" ht="15.5">
      <c r="B558" s="4" t="s">
        <v>1060</v>
      </c>
      <c r="C558" s="14" t="s">
        <v>1023</v>
      </c>
      <c r="D558" s="46"/>
      <c r="E558" s="40" t="s">
        <v>25</v>
      </c>
      <c r="F558" s="32"/>
      <c r="G558" s="2" t="s">
        <v>919</v>
      </c>
      <c r="H558" s="2" t="str">
        <f>IF(G558="","",IF(G558="EKSPLORASI","EXP-"&amp;TEXT(COUNTIF($G$3:G558,G558),"000"),IF(G558="HSE","HSE-"&amp;TEXT(COUNTIF($G$3:G558,G558),"000"),IF(G558="QAQC","QAQC-"&amp;TEXT(COUNTIF($G$3:G558,G558),"000"),IF(G558="HCGA","HCGA-"&amp;TEXT(COUNTIF($G$3:G558,G558),"000"),IF(G558="MAINTENANCE","MNT-"&amp;TEXT(COUNTIF($G$3:G558,G558),"000"),IF(G558="CIVIL","CIV-"&amp;TEXT(COUNTIF($G$3:G558,G558),"000"),IF(G558="GANIS","GAN-"&amp;TEXT(COUNTIF($G$3:G558,G558),"000"),IF(G558="ENGINEERING","ENG-"&amp;TEXT(COUNTIF($G$3:G558,G558),"000"),IF(G558="PRODUKSI","PRO-"&amp;TEXT(COUNTIF($G$3:G558,G558),"000"),IF(G558="SURVEY","SUR-"&amp;TEXT(COUNTIF($G$3:G558,G558),"000"),"")))))))))))</f>
        <v>MNT-058</v>
      </c>
      <c r="I558" s="3"/>
      <c r="J558" s="3"/>
    </row>
    <row r="559" spans="2:10" ht="15.5">
      <c r="B559" s="4" t="s">
        <v>1061</v>
      </c>
      <c r="C559" s="14" t="s">
        <v>1025</v>
      </c>
      <c r="D559" s="46"/>
      <c r="E559" s="40" t="s">
        <v>14</v>
      </c>
      <c r="F559" s="32"/>
      <c r="G559" s="2" t="s">
        <v>919</v>
      </c>
      <c r="H559" s="2" t="str">
        <f>IF(G559="","",IF(G559="EKSPLORASI","EXP-"&amp;TEXT(COUNTIF($G$3:G559,G559),"000"),IF(G559="HSE","HSE-"&amp;TEXT(COUNTIF($G$3:G559,G559),"000"),IF(G559="QAQC","QAQC-"&amp;TEXT(COUNTIF($G$3:G559,G559),"000"),IF(G559="HCGA","HCGA-"&amp;TEXT(COUNTIF($G$3:G559,G559),"000"),IF(G559="MAINTENANCE","MNT-"&amp;TEXT(COUNTIF($G$3:G559,G559),"000"),IF(G559="CIVIL","CIV-"&amp;TEXT(COUNTIF($G$3:G559,G559),"000"),IF(G559="GANIS","GAN-"&amp;TEXT(COUNTIF($G$3:G559,G559),"000"),IF(G559="ENGINEERING","ENG-"&amp;TEXT(COUNTIF($G$3:G559,G559),"000"),IF(G559="PRODUKSI","PRO-"&amp;TEXT(COUNTIF($G$3:G559,G559),"000"),IF(G559="SURVEY","SUR-"&amp;TEXT(COUNTIF($G$3:G559,G559),"000"),"")))))))))))</f>
        <v>MNT-059</v>
      </c>
      <c r="I559" s="3"/>
      <c r="J559" s="3"/>
    </row>
    <row r="560" spans="2:10" ht="15.5">
      <c r="B560" s="4" t="s">
        <v>1135</v>
      </c>
      <c r="C560" s="14" t="s">
        <v>1027</v>
      </c>
      <c r="D560" s="46"/>
      <c r="E560" s="40" t="s">
        <v>14</v>
      </c>
      <c r="F560" s="32"/>
      <c r="G560" s="2" t="s">
        <v>919</v>
      </c>
      <c r="H560" s="2" t="str">
        <f>IF(G560="","",IF(G560="EKSPLORASI","EXP-"&amp;TEXT(COUNTIF($G$3:G560,G560),"000"),IF(G560="HSE","HSE-"&amp;TEXT(COUNTIF($G$3:G560,G560),"000"),IF(G560="QAQC","QAQC-"&amp;TEXT(COUNTIF($G$3:G560,G560),"000"),IF(G560="HCGA","HCGA-"&amp;TEXT(COUNTIF($G$3:G560,G560),"000"),IF(G560="MAINTENANCE","MNT-"&amp;TEXT(COUNTIF($G$3:G560,G560),"000"),IF(G560="CIVIL","CIV-"&amp;TEXT(COUNTIF($G$3:G560,G560),"000"),IF(G560="GANIS","GAN-"&amp;TEXT(COUNTIF($G$3:G560,G560),"000"),IF(G560="ENGINEERING","ENG-"&amp;TEXT(COUNTIF($G$3:G560,G560),"000"),IF(G560="PRODUKSI","PRO-"&amp;TEXT(COUNTIF($G$3:G560,G560),"000"),IF(G560="SURVEY","SUR-"&amp;TEXT(COUNTIF($G$3:G560,G560),"000"),"")))))))))))</f>
        <v>MNT-060</v>
      </c>
      <c r="I560" s="3"/>
      <c r="J560" s="3"/>
    </row>
    <row r="561" spans="2:10" ht="15.5">
      <c r="B561" s="4" t="s">
        <v>1136</v>
      </c>
      <c r="C561" s="14" t="s">
        <v>408</v>
      </c>
      <c r="D561" s="46"/>
      <c r="E561" s="40" t="s">
        <v>14</v>
      </c>
      <c r="F561" s="32"/>
      <c r="G561" s="2" t="s">
        <v>919</v>
      </c>
      <c r="H561" s="2" t="str">
        <f>IF(G561="","",IF(G561="EKSPLORASI","EXP-"&amp;TEXT(COUNTIF($G$3:G561,G561),"000"),IF(G561="HSE","HSE-"&amp;TEXT(COUNTIF($G$3:G561,G561),"000"),IF(G561="QAQC","QAQC-"&amp;TEXT(COUNTIF($G$3:G561,G561),"000"),IF(G561="HCGA","HCGA-"&amp;TEXT(COUNTIF($G$3:G561,G561),"000"),IF(G561="MAINTENANCE","MNT-"&amp;TEXT(COUNTIF($G$3:G561,G561),"000"),IF(G561="CIVIL","CIV-"&amp;TEXT(COUNTIF($G$3:G561,G561),"000"),IF(G561="GANIS","GAN-"&amp;TEXT(COUNTIF($G$3:G561,G561),"000"),IF(G561="ENGINEERING","ENG-"&amp;TEXT(COUNTIF($G$3:G561,G561),"000"),IF(G561="PRODUKSI","PRO-"&amp;TEXT(COUNTIF($G$3:G561,G561),"000"),IF(G561="SURVEY","SUR-"&amp;TEXT(COUNTIF($G$3:G561,G561),"000"),"")))))))))))</f>
        <v>MNT-061</v>
      </c>
      <c r="I561" s="3"/>
      <c r="J561" s="3"/>
    </row>
    <row r="562" spans="2:10" ht="15.5">
      <c r="B562" s="4" t="s">
        <v>1137</v>
      </c>
      <c r="C562" s="14" t="s">
        <v>1030</v>
      </c>
      <c r="D562" s="46"/>
      <c r="E562" s="40" t="s">
        <v>14</v>
      </c>
      <c r="F562" s="32"/>
      <c r="G562" s="2" t="s">
        <v>919</v>
      </c>
      <c r="H562" s="2" t="str">
        <f>IF(G562="","",IF(G562="EKSPLORASI","EXP-"&amp;TEXT(COUNTIF($G$3:G562,G562),"000"),IF(G562="HSE","HSE-"&amp;TEXT(COUNTIF($G$3:G562,G562),"000"),IF(G562="QAQC","QAQC-"&amp;TEXT(COUNTIF($G$3:G562,G562),"000"),IF(G562="HCGA","HCGA-"&amp;TEXT(COUNTIF($G$3:G562,G562),"000"),IF(G562="MAINTENANCE","MNT-"&amp;TEXT(COUNTIF($G$3:G562,G562),"000"),IF(G562="CIVIL","CIV-"&amp;TEXT(COUNTIF($G$3:G562,G562),"000"),IF(G562="GANIS","GAN-"&amp;TEXT(COUNTIF($G$3:G562,G562),"000"),IF(G562="ENGINEERING","ENG-"&amp;TEXT(COUNTIF($G$3:G562,G562),"000"),IF(G562="PRODUKSI","PRO-"&amp;TEXT(COUNTIF($G$3:G562,G562),"000"),IF(G562="SURVEY","SUR-"&amp;TEXT(COUNTIF($G$3:G562,G562),"000"),"")))))))))))</f>
        <v>MNT-062</v>
      </c>
      <c r="I562" s="3"/>
      <c r="J562" s="3"/>
    </row>
    <row r="563" spans="2:10" ht="15.5">
      <c r="B563" s="4" t="s">
        <v>1138</v>
      </c>
      <c r="C563" s="14" t="s">
        <v>1032</v>
      </c>
      <c r="D563" s="46"/>
      <c r="E563" s="40" t="s">
        <v>14</v>
      </c>
      <c r="F563" s="32"/>
      <c r="G563" s="2" t="s">
        <v>919</v>
      </c>
      <c r="H563" s="2" t="str">
        <f>IF(G563="","",IF(G563="EKSPLORASI","EXP-"&amp;TEXT(COUNTIF($G$3:G563,G563),"000"),IF(G563="HSE","HSE-"&amp;TEXT(COUNTIF($G$3:G563,G563),"000"),IF(G563="QAQC","QAQC-"&amp;TEXT(COUNTIF($G$3:G563,G563),"000"),IF(G563="HCGA","HCGA-"&amp;TEXT(COUNTIF($G$3:G563,G563),"000"),IF(G563="MAINTENANCE","MNT-"&amp;TEXT(COUNTIF($G$3:G563,G563),"000"),IF(G563="CIVIL","CIV-"&amp;TEXT(COUNTIF($G$3:G563,G563),"000"),IF(G563="GANIS","GAN-"&amp;TEXT(COUNTIF($G$3:G563,G563),"000"),IF(G563="ENGINEERING","ENG-"&amp;TEXT(COUNTIF($G$3:G563,G563),"000"),IF(G563="PRODUKSI","PRO-"&amp;TEXT(COUNTIF($G$3:G563,G563),"000"),IF(G563="SURVEY","SUR-"&amp;TEXT(COUNTIF($G$3:G563,G563),"000"),"")))))))))))</f>
        <v>MNT-063</v>
      </c>
      <c r="I563" s="3"/>
      <c r="J563" s="3"/>
    </row>
    <row r="564" spans="2:10" ht="15.5">
      <c r="B564" s="4" t="s">
        <v>1139</v>
      </c>
      <c r="C564" s="14" t="s">
        <v>412</v>
      </c>
      <c r="D564" s="46"/>
      <c r="E564" s="40" t="s">
        <v>14</v>
      </c>
      <c r="F564" s="32"/>
      <c r="G564" s="2" t="s">
        <v>919</v>
      </c>
      <c r="H564" s="2" t="str">
        <f>IF(G564="","",IF(G564="EKSPLORASI","EXP-"&amp;TEXT(COUNTIF($G$3:G564,G564),"000"),IF(G564="HSE","HSE-"&amp;TEXT(COUNTIF($G$3:G564,G564),"000"),IF(G564="QAQC","QAQC-"&amp;TEXT(COUNTIF($G$3:G564,G564),"000"),IF(G564="HCGA","HCGA-"&amp;TEXT(COUNTIF($G$3:G564,G564),"000"),IF(G564="MAINTENANCE","MNT-"&amp;TEXT(COUNTIF($G$3:G564,G564),"000"),IF(G564="CIVIL","CIV-"&amp;TEXT(COUNTIF($G$3:G564,G564),"000"),IF(G564="GANIS","GAN-"&amp;TEXT(COUNTIF($G$3:G564,G564),"000"),IF(G564="ENGINEERING","ENG-"&amp;TEXT(COUNTIF($G$3:G564,G564),"000"),IF(G564="PRODUKSI","PRO-"&amp;TEXT(COUNTIF($G$3:G564,G564),"000"),IF(G564="SURVEY","SUR-"&amp;TEXT(COUNTIF($G$3:G564,G564),"000"),"")))))))))))</f>
        <v>MNT-064</v>
      </c>
      <c r="I564" s="3"/>
      <c r="J564" s="3"/>
    </row>
    <row r="565" spans="2:10" ht="15.5">
      <c r="B565" s="4" t="s">
        <v>1140</v>
      </c>
      <c r="C565" s="14" t="s">
        <v>69</v>
      </c>
      <c r="D565" s="46"/>
      <c r="E565" s="40" t="s">
        <v>14</v>
      </c>
      <c r="F565" s="32"/>
      <c r="G565" s="2" t="s">
        <v>919</v>
      </c>
      <c r="H565" s="2" t="str">
        <f>IF(G565="","",IF(G565="EKSPLORASI","EXP-"&amp;TEXT(COUNTIF($G$3:G565,G565),"000"),IF(G565="HSE","HSE-"&amp;TEXT(COUNTIF($G$3:G565,G565),"000"),IF(G565="QAQC","QAQC-"&amp;TEXT(COUNTIF($G$3:G565,G565),"000"),IF(G565="HCGA","HCGA-"&amp;TEXT(COUNTIF($G$3:G565,G565),"000"),IF(G565="MAINTENANCE","MNT-"&amp;TEXT(COUNTIF($G$3:G565,G565),"000"),IF(G565="CIVIL","CIV-"&amp;TEXT(COUNTIF($G$3:G565,G565),"000"),IF(G565="GANIS","GAN-"&amp;TEXT(COUNTIF($G$3:G565,G565),"000"),IF(G565="ENGINEERING","ENG-"&amp;TEXT(COUNTIF($G$3:G565,G565),"000"),IF(G565="PRODUKSI","PRO-"&amp;TEXT(COUNTIF($G$3:G565,G565),"000"),IF(G565="SURVEY","SUR-"&amp;TEXT(COUNTIF($G$3:G565,G565),"000"),"")))))))))))</f>
        <v>MNT-065</v>
      </c>
      <c r="I565" s="3"/>
      <c r="J565" s="3"/>
    </row>
    <row r="566" spans="2:10" ht="15.5">
      <c r="B566" s="4" t="s">
        <v>1141</v>
      </c>
      <c r="C566" s="14" t="s">
        <v>1036</v>
      </c>
      <c r="D566" s="46">
        <v>80000</v>
      </c>
      <c r="E566" s="40" t="s">
        <v>14</v>
      </c>
      <c r="F566" s="32"/>
      <c r="G566" s="2" t="s">
        <v>919</v>
      </c>
      <c r="H566" s="2" t="str">
        <f>IF(G566="","",IF(G566="EKSPLORASI","EXP-"&amp;TEXT(COUNTIF($G$3:G566,G566),"000"),IF(G566="HSE","HSE-"&amp;TEXT(COUNTIF($G$3:G566,G566),"000"),IF(G566="QAQC","QAQC-"&amp;TEXT(COUNTIF($G$3:G566,G566),"000"),IF(G566="HCGA","HCGA-"&amp;TEXT(COUNTIF($G$3:G566,G566),"000"),IF(G566="MAINTENANCE","MNT-"&amp;TEXT(COUNTIF($G$3:G566,G566),"000"),IF(G566="CIVIL","CIV-"&amp;TEXT(COUNTIF($G$3:G566,G566),"000"),IF(G566="GANIS","GAN-"&amp;TEXT(COUNTIF($G$3:G566,G566),"000"),IF(G566="ENGINEERING","ENG-"&amp;TEXT(COUNTIF($G$3:G566,G566),"000"),IF(G566="PRODUKSI","PRO-"&amp;TEXT(COUNTIF($G$3:G566,G566),"000"),IF(G566="SURVEY","SUR-"&amp;TEXT(COUNTIF($G$3:G566,G566),"000"),"")))))))))))</f>
        <v>MNT-066</v>
      </c>
      <c r="I566" s="3"/>
      <c r="J566" s="3"/>
    </row>
    <row r="567" spans="2:10" ht="15.5">
      <c r="B567" s="4" t="s">
        <v>1142</v>
      </c>
      <c r="C567" s="14" t="s">
        <v>1038</v>
      </c>
      <c r="D567" s="46"/>
      <c r="E567" s="40" t="s">
        <v>14</v>
      </c>
      <c r="F567" s="32"/>
      <c r="G567" s="2" t="s">
        <v>919</v>
      </c>
      <c r="H567" s="2" t="str">
        <f>IF(G567="","",IF(G567="EKSPLORASI","EXP-"&amp;TEXT(COUNTIF($G$3:G567,G567),"000"),IF(G567="HSE","HSE-"&amp;TEXT(COUNTIF($G$3:G567,G567),"000"),IF(G567="QAQC","QAQC-"&amp;TEXT(COUNTIF($G$3:G567,G567),"000"),IF(G567="HCGA","HCGA-"&amp;TEXT(COUNTIF($G$3:G567,G567),"000"),IF(G567="MAINTENANCE","MNT-"&amp;TEXT(COUNTIF($G$3:G567,G567),"000"),IF(G567="CIVIL","CIV-"&amp;TEXT(COUNTIF($G$3:G567,G567),"000"),IF(G567="GANIS","GAN-"&amp;TEXT(COUNTIF($G$3:G567,G567),"000"),IF(G567="ENGINEERING","ENG-"&amp;TEXT(COUNTIF($G$3:G567,G567),"000"),IF(G567="PRODUKSI","PRO-"&amp;TEXT(COUNTIF($G$3:G567,G567),"000"),IF(G567="SURVEY","SUR-"&amp;TEXT(COUNTIF($G$3:G567,G567),"000"),"")))))))))))</f>
        <v>MNT-067</v>
      </c>
      <c r="I567" s="3"/>
      <c r="J567" s="3"/>
    </row>
    <row r="568" spans="2:10" ht="15.5">
      <c r="B568" s="4" t="s">
        <v>1143</v>
      </c>
      <c r="C568" s="14" t="s">
        <v>1040</v>
      </c>
      <c r="D568" s="46"/>
      <c r="E568" s="40" t="s">
        <v>14</v>
      </c>
      <c r="F568" s="32"/>
      <c r="G568" s="2" t="s">
        <v>919</v>
      </c>
      <c r="H568" s="2" t="str">
        <f>IF(G568="","",IF(G568="EKSPLORASI","EXP-"&amp;TEXT(COUNTIF($G$3:G568,G568),"000"),IF(G568="HSE","HSE-"&amp;TEXT(COUNTIF($G$3:G568,G568),"000"),IF(G568="QAQC","QAQC-"&amp;TEXT(COUNTIF($G$3:G568,G568),"000"),IF(G568="HCGA","HCGA-"&amp;TEXT(COUNTIF($G$3:G568,G568),"000"),IF(G568="MAINTENANCE","MNT-"&amp;TEXT(COUNTIF($G$3:G568,G568),"000"),IF(G568="CIVIL","CIV-"&amp;TEXT(COUNTIF($G$3:G568,G568),"000"),IF(G568="GANIS","GAN-"&amp;TEXT(COUNTIF($G$3:G568,G568),"000"),IF(G568="ENGINEERING","ENG-"&amp;TEXT(COUNTIF($G$3:G568,G568),"000"),IF(G568="PRODUKSI","PRO-"&amp;TEXT(COUNTIF($G$3:G568,G568),"000"),IF(G568="SURVEY","SUR-"&amp;TEXT(COUNTIF($G$3:G568,G568),"000"),"")))))))))))</f>
        <v>MNT-068</v>
      </c>
      <c r="I568" s="3"/>
      <c r="J568" s="3"/>
    </row>
    <row r="569" spans="2:10" ht="15.5">
      <c r="B569" s="4" t="s">
        <v>1144</v>
      </c>
      <c r="C569" s="14" t="s">
        <v>1042</v>
      </c>
      <c r="D569" s="46"/>
      <c r="E569" s="40" t="s">
        <v>14</v>
      </c>
      <c r="F569" s="46"/>
      <c r="G569" s="2" t="s">
        <v>919</v>
      </c>
      <c r="H569" s="2" t="str">
        <f>IF(G569="","",IF(G569="EKSPLORASI","EXP-"&amp;TEXT(COUNTIF($G$3:G569,G569),"000"),IF(G569="HSE","HSE-"&amp;TEXT(COUNTIF($G$3:G569,G569),"000"),IF(G569="QAQC","QAQC-"&amp;TEXT(COUNTIF($G$3:G569,G569),"000"),IF(G569="HCGA","HCGA-"&amp;TEXT(COUNTIF($G$3:G569,G569),"000"),IF(G569="MAINTENANCE","MNT-"&amp;TEXT(COUNTIF($G$3:G569,G569),"000"),IF(G569="CIVIL","CIV-"&amp;TEXT(COUNTIF($G$3:G569,G569),"000"),IF(G569="GANIS","GAN-"&amp;TEXT(COUNTIF($G$3:G569,G569),"000"),IF(G569="ENGINEERING","ENG-"&amp;TEXT(COUNTIF($G$3:G569,G569),"000"),IF(G569="PRODUKSI","PRO-"&amp;TEXT(COUNTIF($G$3:G569,G569),"000"),IF(G569="SURVEY","SUR-"&amp;TEXT(COUNTIF($G$3:G569,G569),"000"),"")))))))))))</f>
        <v>MNT-069</v>
      </c>
      <c r="I569" s="3"/>
      <c r="J569" s="3"/>
    </row>
    <row r="570" spans="2:10" ht="15.5">
      <c r="B570" s="4" t="s">
        <v>1145</v>
      </c>
      <c r="C570" s="14" t="s">
        <v>1044</v>
      </c>
      <c r="D570" s="49"/>
      <c r="E570" s="40" t="s">
        <v>14</v>
      </c>
      <c r="F570" s="44"/>
      <c r="G570" s="2" t="s">
        <v>919</v>
      </c>
      <c r="H570" s="30" t="str">
        <f>IF(G570="","",IF(G570="EKSPLORASI","EXP-"&amp;TEXT(COUNTIF($G$3:G570,G570),"000"),IF(G570="HSE","HSE-"&amp;TEXT(COUNTIF($G$3:G570,G570),"000"),IF(G570="QAQC","QAQC-"&amp;TEXT(COUNTIF($G$3:G570,G570),"000"),IF(G570="HCGA","HCGA-"&amp;TEXT(COUNTIF($G$3:G570,G570),"000"),IF(G570="MAINTENANCE","MNT-"&amp;TEXT(COUNTIF($G$3:G570,G570),"000"),IF(G570="CIVIL","CIV-"&amp;TEXT(COUNTIF($G$3:G570,G570),"000"),IF(G570="GANIS","GAN-"&amp;TEXT(COUNTIF($G$3:G570,G570),"000"),IF(G570="ENGINEERING","ENG-"&amp;TEXT(COUNTIF($G$3:G570,G570),"000"),IF(G570="PRODUKSI","PRO-"&amp;TEXT(COUNTIF($G$3:G570,G570),"000"),IF(G570="SURVEY","SUR-"&amp;TEXT(COUNTIF($G$3:G570,G570),"000"),"")))))))))))</f>
        <v>MNT-070</v>
      </c>
      <c r="I570" s="29"/>
      <c r="J570" s="29"/>
    </row>
    <row r="571" spans="2:10" ht="15.5">
      <c r="B571" s="4" t="s">
        <v>1146</v>
      </c>
      <c r="C571" s="27" t="s">
        <v>1046</v>
      </c>
      <c r="D571" s="46"/>
      <c r="E571" s="40" t="s">
        <v>14</v>
      </c>
      <c r="F571" s="32"/>
      <c r="G571" s="2" t="s">
        <v>919</v>
      </c>
      <c r="H571" s="2" t="str">
        <f>IF(G571="","",IF(G571="EKSPLORASI","EXP-"&amp;TEXT(COUNTIF($G$3:G571,G571),"000"),IF(G571="HSE","HSE-"&amp;TEXT(COUNTIF($G$3:G571,G571),"000"),IF(G571="QAQC","QAQC-"&amp;TEXT(COUNTIF($G$3:G571,G571),"000"),IF(G571="HCGA","HCGA-"&amp;TEXT(COUNTIF($G$3:G571,G571),"000"),IF(G571="MAINTENANCE","MNT-"&amp;TEXT(COUNTIF($G$3:G571,G571),"000"),IF(G571="CIVIL","CIV-"&amp;TEXT(COUNTIF($G$3:G571,G571),"000"),IF(G571="GANIS","GAN-"&amp;TEXT(COUNTIF($G$3:G571,G571),"000"),IF(G571="ENGINEERING","ENG-"&amp;TEXT(COUNTIF($G$3:G571,G571),"000"),IF(G571="PRODUKSI","PRO-"&amp;TEXT(COUNTIF($G$3:G571,G571),"000"),IF(G571="SURVEY","SUR-"&amp;TEXT(COUNTIF($G$3:G571,G571),"000"),"")))))))))))</f>
        <v>MNT-071</v>
      </c>
      <c r="I571" s="3"/>
      <c r="J571" s="3"/>
    </row>
    <row r="572" spans="2:10" ht="15.5">
      <c r="B572" s="4" t="s">
        <v>1147</v>
      </c>
      <c r="C572" s="11" t="s">
        <v>52</v>
      </c>
      <c r="D572" s="47">
        <v>30000</v>
      </c>
      <c r="E572" s="40" t="s">
        <v>14</v>
      </c>
      <c r="F572" s="34" t="s">
        <v>1087</v>
      </c>
      <c r="G572" s="2" t="s">
        <v>1048</v>
      </c>
      <c r="H572" s="2" t="str">
        <f>IF(G572="","",IF(G572="EKSPLORASI","EXP-"&amp;TEXT(COUNTIF($G$3:G572,G572),"000"),IF(G572="HSE","HSE-"&amp;TEXT(COUNTIF($G$3:G572,G572),"000"),IF(G572="QAQC","QAQC-"&amp;TEXT(COUNTIF($G$3:G572,G572),"000"),IF(G572="HCGA","HCGA-"&amp;TEXT(COUNTIF($G$3:G572,G572),"000"),IF(G572="MAINTENANCE","MNT-"&amp;TEXT(COUNTIF($G$3:G572,G572),"000"),IF(G572="CIVIL","CIV-"&amp;TEXT(COUNTIF($G$3:G572,G572),"000"),IF(G572="GANIS","GAN-"&amp;TEXT(COUNTIF($G$3:G572,G572),"000"),IF(G572="ENGINEERING","ENG-"&amp;TEXT(COUNTIF($G$3:G572,G572),"000"),IF(G572="PRODUKSI","PRO-"&amp;TEXT(COUNTIF($G$3:G572,G572),"000"),IF(G572="SURVEY","SUR-"&amp;TEXT(COUNTIF($G$3:G572,G572),"000"),"")))))))))))</f>
        <v>PRO-001</v>
      </c>
      <c r="I572" s="3"/>
      <c r="J572" s="3"/>
    </row>
    <row r="573" spans="2:10" ht="15.5">
      <c r="B573" s="4" t="s">
        <v>1148</v>
      </c>
      <c r="C573" s="20" t="s">
        <v>391</v>
      </c>
      <c r="D573" s="46">
        <v>80000</v>
      </c>
      <c r="E573" s="40" t="s">
        <v>74</v>
      </c>
      <c r="F573" s="32" t="s">
        <v>1099</v>
      </c>
      <c r="G573" s="2" t="s">
        <v>1048</v>
      </c>
      <c r="H573" s="2" t="str">
        <f>IF(G573="","",IF(G573="EKSPLORASI","EXP-"&amp;TEXT(COUNTIF($G$3:G573,G573),"000"),IF(G573="HSE","HSE-"&amp;TEXT(COUNTIF($G$3:G573,G573),"000"),IF(G573="QAQC","QAQC-"&amp;TEXT(COUNTIF($G$3:G573,G573),"000"),IF(G573="HCGA","HCGA-"&amp;TEXT(COUNTIF($G$3:G573,G573),"000"),IF(G573="MAINTENANCE","MNT-"&amp;TEXT(COUNTIF($G$3:G573,G573),"000"),IF(G573="CIVIL","CIV-"&amp;TEXT(COUNTIF($G$3:G573,G573),"000"),IF(G573="GANIS","GAN-"&amp;TEXT(COUNTIF($G$3:G573,G573),"000"),IF(G573="ENGINEERING","ENG-"&amp;TEXT(COUNTIF($G$3:G573,G573),"000"),IF(G573="PRODUKSI","PRO-"&amp;TEXT(COUNTIF($G$3:G573,G573),"000"),IF(G573="SURVEY","SUR-"&amp;TEXT(COUNTIF($G$3:G573,G573),"000"),"")))))))))))</f>
        <v>PRO-002</v>
      </c>
      <c r="I573" s="3"/>
      <c r="J573" s="3"/>
    </row>
    <row r="574" spans="2:10" ht="15.5">
      <c r="B574" s="4" t="s">
        <v>1149</v>
      </c>
      <c r="C574" s="11" t="s">
        <v>1051</v>
      </c>
      <c r="D574" s="46"/>
      <c r="E574" s="40" t="s">
        <v>235</v>
      </c>
      <c r="F574" s="32"/>
      <c r="G574" s="2" t="s">
        <v>1048</v>
      </c>
      <c r="H574" s="2" t="str">
        <f>IF(G574="","",IF(G574="EKSPLORASI","EXP-"&amp;TEXT(COUNTIF($G$3:G574,G574),"000"),IF(G574="HSE","HSE-"&amp;TEXT(COUNTIF($G$3:G574,G574),"000"),IF(G574="QAQC","QAQC-"&amp;TEXT(COUNTIF($G$3:G574,G574),"000"),IF(G574="HCGA","HCGA-"&amp;TEXT(COUNTIF($G$3:G574,G574),"000"),IF(G574="MAINTENANCE","MNT-"&amp;TEXT(COUNTIF($G$3:G574,G574),"000"),IF(G574="CIVIL","CIV-"&amp;TEXT(COUNTIF($G$3:G574,G574),"000"),IF(G574="GANIS","GAN-"&amp;TEXT(COUNTIF($G$3:G574,G574),"000"),IF(G574="ENGINEERING","ENG-"&amp;TEXT(COUNTIF($G$3:G574,G574),"000"),IF(G574="PRODUKSI","PRO-"&amp;TEXT(COUNTIF($G$3:G574,G574),"000"),IF(G574="SURVEY","SUR-"&amp;TEXT(COUNTIF($G$3:G574,G574),"000"),"")))))))))))</f>
        <v>PRO-003</v>
      </c>
      <c r="I574" s="3"/>
      <c r="J574" s="3"/>
    </row>
    <row r="575" spans="2:10" ht="15.5">
      <c r="B575" s="4" t="s">
        <v>1150</v>
      </c>
      <c r="C575" s="11" t="s">
        <v>33</v>
      </c>
      <c r="D575" s="46">
        <v>50000</v>
      </c>
      <c r="E575" s="40" t="s">
        <v>34</v>
      </c>
      <c r="F575" s="34" t="s">
        <v>1085</v>
      </c>
      <c r="G575" s="2" t="s">
        <v>1048</v>
      </c>
      <c r="H575" s="2" t="str">
        <f>IF(G575="","",IF(G575="EKSPLORASI","EXP-"&amp;TEXT(COUNTIF($G$3:G575,G575),"000"),IF(G575="HSE","HSE-"&amp;TEXT(COUNTIF($G$3:G575,G575),"000"),IF(G575="QAQC","QAQC-"&amp;TEXT(COUNTIF($G$3:G575,G575),"000"),IF(G575="HCGA","HCGA-"&amp;TEXT(COUNTIF($G$3:G575,G575),"000"),IF(G575="MAINTENANCE","MNT-"&amp;TEXT(COUNTIF($G$3:G575,G575),"000"),IF(G575="CIVIL","CIV-"&amp;TEXT(COUNTIF($G$3:G575,G575),"000"),IF(G575="GANIS","GAN-"&amp;TEXT(COUNTIF($G$3:G575,G575),"000"),IF(G575="ENGINEERING","ENG-"&amp;TEXT(COUNTIF($G$3:G575,G575),"000"),IF(G575="PRODUKSI","PRO-"&amp;TEXT(COUNTIF($G$3:G575,G575),"000"),IF(G575="SURVEY","SUR-"&amp;TEXT(COUNTIF($G$3:G575,G575),"000"),"")))))))))))</f>
        <v>PRO-004</v>
      </c>
      <c r="I575" s="3"/>
      <c r="J575" s="3"/>
    </row>
    <row r="576" spans="2:10" ht="15.5">
      <c r="B576" s="4" t="s">
        <v>1151</v>
      </c>
      <c r="C576" s="11" t="s">
        <v>182</v>
      </c>
      <c r="D576" s="47">
        <v>50000</v>
      </c>
      <c r="E576" s="40" t="s">
        <v>183</v>
      </c>
      <c r="F576" s="32"/>
      <c r="G576" s="2" t="s">
        <v>1048</v>
      </c>
      <c r="H576" s="2" t="str">
        <f>IF(G576="","",IF(G576="EKSPLORASI","EXP-"&amp;TEXT(COUNTIF($G$3:G576,G576),"000"),IF(G576="HSE","HSE-"&amp;TEXT(COUNTIF($G$3:G576,G576),"000"),IF(G576="QAQC","QAQC-"&amp;TEXT(COUNTIF($G$3:G576,G576),"000"),IF(G576="HCGA","HCGA-"&amp;TEXT(COUNTIF($G$3:G576,G576),"000"),IF(G576="MAINTENANCE","MNT-"&amp;TEXT(COUNTIF($G$3:G576,G576),"000"),IF(G576="CIVIL","CIV-"&amp;TEXT(COUNTIF($G$3:G576,G576),"000"),IF(G576="GANIS","GAN-"&amp;TEXT(COUNTIF($G$3:G576,G576),"000"),IF(G576="ENGINEERING","ENG-"&amp;TEXT(COUNTIF($G$3:G576,G576),"000"),IF(G576="PRODUKSI","PRO-"&amp;TEXT(COUNTIF($G$3:G576,G576),"000"),IF(G576="SURVEY","SUR-"&amp;TEXT(COUNTIF($G$3:G576,G576),"000"),"")))))))))))</f>
        <v>PRO-005</v>
      </c>
      <c r="I576" s="3"/>
      <c r="J576" s="3"/>
    </row>
    <row r="577" spans="2:10" ht="15.5">
      <c r="B577" s="4" t="s">
        <v>1152</v>
      </c>
      <c r="C577" s="11" t="s">
        <v>22</v>
      </c>
      <c r="D577" s="46"/>
      <c r="E577" s="40" t="s">
        <v>14</v>
      </c>
      <c r="F577" s="32"/>
      <c r="G577" s="2" t="s">
        <v>1048</v>
      </c>
      <c r="H577" s="2" t="str">
        <f>IF(G577="","",IF(G577="EKSPLORASI","EXP-"&amp;TEXT(COUNTIF($G$3:G577,G577),"000"),IF(G577="HSE","HSE-"&amp;TEXT(COUNTIF($G$3:G577,G577),"000"),IF(G577="QAQC","QAQC-"&amp;TEXT(COUNTIF($G$3:G577,G577),"000"),IF(G577="HCGA","HCGA-"&amp;TEXT(COUNTIF($G$3:G577,G577),"000"),IF(G577="MAINTENANCE","MNT-"&amp;TEXT(COUNTIF($G$3:G577,G577),"000"),IF(G577="CIVIL","CIV-"&amp;TEXT(COUNTIF($G$3:G577,G577),"000"),IF(G577="GANIS","GAN-"&amp;TEXT(COUNTIF($G$3:G577,G577),"000"),IF(G577="ENGINEERING","ENG-"&amp;TEXT(COUNTIF($G$3:G577,G577),"000"),IF(G577="PRODUKSI","PRO-"&amp;TEXT(COUNTIF($G$3:G577,G577),"000"),IF(G577="SURVEY","SUR-"&amp;TEXT(COUNTIF($G$3:G577,G577),"000"),"")))))))))))</f>
        <v>PRO-006</v>
      </c>
      <c r="I577" s="3"/>
      <c r="J577" s="3"/>
    </row>
    <row r="578" spans="2:10" ht="15.5">
      <c r="B578" s="4" t="s">
        <v>1153</v>
      </c>
      <c r="C578" s="11" t="s">
        <v>414</v>
      </c>
      <c r="D578" s="46"/>
      <c r="E578" s="40" t="s">
        <v>14</v>
      </c>
      <c r="F578" s="32"/>
      <c r="G578" s="2" t="s">
        <v>1048</v>
      </c>
      <c r="H578" s="2" t="str">
        <f>IF(G578="","",IF(G578="EKSPLORASI","EXP-"&amp;TEXT(COUNTIF($G$3:G578,G578),"000"),IF(G578="HSE","HSE-"&amp;TEXT(COUNTIF($G$3:G578,G578),"000"),IF(G578="QAQC","QAQC-"&amp;TEXT(COUNTIF($G$3:G578,G578),"000"),IF(G578="HCGA","HCGA-"&amp;TEXT(COUNTIF($G$3:G578,G578),"000"),IF(G578="MAINTENANCE","MNT-"&amp;TEXT(COUNTIF($G$3:G578,G578),"000"),IF(G578="CIVIL","CIV-"&amp;TEXT(COUNTIF($G$3:G578,G578),"000"),IF(G578="GANIS","GAN-"&amp;TEXT(COUNTIF($G$3:G578,G578),"000"),IF(G578="ENGINEERING","ENG-"&amp;TEXT(COUNTIF($G$3:G578,G578),"000"),IF(G578="PRODUKSI","PRO-"&amp;TEXT(COUNTIF($G$3:G578,G578),"000"),IF(G578="SURVEY","SUR-"&amp;TEXT(COUNTIF($G$3:G578,G578),"000"),"")))))))))))</f>
        <v>PRO-007</v>
      </c>
      <c r="I578" s="3"/>
      <c r="J578" s="3"/>
    </row>
    <row r="579" spans="2:10" ht="15.5">
      <c r="B579" s="4" t="s">
        <v>1154</v>
      </c>
      <c r="C579" s="11" t="s">
        <v>266</v>
      </c>
      <c r="D579" s="46"/>
      <c r="E579" s="40" t="s">
        <v>14</v>
      </c>
      <c r="F579" s="32"/>
      <c r="G579" s="2" t="s">
        <v>1048</v>
      </c>
      <c r="H579" s="2" t="str">
        <f>IF(G579="","",IF(G579="EKSPLORASI","EXP-"&amp;TEXT(COUNTIF($G$3:G579,G579),"000"),IF(G579="HSE","HSE-"&amp;TEXT(COUNTIF($G$3:G579,G579),"000"),IF(G579="QAQC","QAQC-"&amp;TEXT(COUNTIF($G$3:G579,G579),"000"),IF(G579="HCGA","HCGA-"&amp;TEXT(COUNTIF($G$3:G579,G579),"000"),IF(G579="MAINTENANCE","MNT-"&amp;TEXT(COUNTIF($G$3:G579,G579),"000"),IF(G579="CIVIL","CIV-"&amp;TEXT(COUNTIF($G$3:G579,G579),"000"),IF(G579="GANIS","GAN-"&amp;TEXT(COUNTIF($G$3:G579,G579),"000"),IF(G579="ENGINEERING","ENG-"&amp;TEXT(COUNTIF($G$3:G579,G579),"000"),IF(G579="PRODUKSI","PRO-"&amp;TEXT(COUNTIF($G$3:G579,G579),"000"),IF(G579="SURVEY","SUR-"&amp;TEXT(COUNTIF($G$3:G579,G579),"000"),"")))))))))))</f>
        <v>PRO-008</v>
      </c>
      <c r="I579" s="3"/>
      <c r="J579" s="3"/>
    </row>
    <row r="580" spans="2:10" ht="15.5">
      <c r="B580" s="4" t="s">
        <v>1155</v>
      </c>
      <c r="C580" s="11" t="s">
        <v>503</v>
      </c>
      <c r="D580" s="46">
        <v>20000</v>
      </c>
      <c r="E580" s="40" t="s">
        <v>74</v>
      </c>
      <c r="F580" s="34" t="s">
        <v>1089</v>
      </c>
      <c r="G580" s="2" t="s">
        <v>1058</v>
      </c>
      <c r="H580" s="2" t="str">
        <f>IF(G580="","",IF(G580="EKSPLORASI","EXP-"&amp;TEXT(COUNTIF($G$3:G580,G580),"000"),IF(G580="HSE","HSE-"&amp;TEXT(COUNTIF($G$3:G580,G580),"000"),IF(G580="QAQC","QAQC-"&amp;TEXT(COUNTIF($G$3:G580,G580),"000"),IF(G580="HCGA","HCGA-"&amp;TEXT(COUNTIF($G$3:G580,G580),"000"),IF(G580="MAINTENANCE","MNT-"&amp;TEXT(COUNTIF($G$3:G580,G580),"000"),IF(G580="CIVIL","CIV-"&amp;TEXT(COUNTIF($G$3:G580,G580),"000"),IF(G580="GANIS","GAN-"&amp;TEXT(COUNTIF($G$3:G580,G580),"000"),IF(G580="ENGINEERING","ENG-"&amp;TEXT(COUNTIF($G$3:G580,G580),"000"),IF(G580="PRODUKSI","PRO-"&amp;TEXT(COUNTIF($G$3:G580,G580),"000"),IF(G580="SURVEY","SUR-"&amp;TEXT(COUNTIF($G$3:G580,G580),"000"),"")))))))))))</f>
        <v>SUR-001</v>
      </c>
      <c r="I580" s="3"/>
      <c r="J580" s="3"/>
    </row>
    <row r="581" spans="2:10" ht="15.5">
      <c r="B581" s="4" t="s">
        <v>1156</v>
      </c>
      <c r="C581" s="11" t="s">
        <v>89</v>
      </c>
      <c r="D581" s="46"/>
      <c r="E581" s="40" t="s">
        <v>14</v>
      </c>
      <c r="F581" s="32"/>
      <c r="G581" s="2" t="s">
        <v>1058</v>
      </c>
      <c r="H581" s="2" t="str">
        <f>IF(G581="","",IF(G581="EKSPLORASI","EXP-"&amp;TEXT(COUNTIF($G$3:G581,G581),"000"),IF(G581="HSE","HSE-"&amp;TEXT(COUNTIF($G$3:G581,G581),"000"),IF(G581="QAQC","QAQC-"&amp;TEXT(COUNTIF($G$3:G581,G581),"000"),IF(G581="HCGA","HCGA-"&amp;TEXT(COUNTIF($G$3:G581,G581),"000"),IF(G581="MAINTENANCE","MNT-"&amp;TEXT(COUNTIF($G$3:G581,G581),"000"),IF(G581="CIVIL","CIV-"&amp;TEXT(COUNTIF($G$3:G581,G581),"000"),IF(G581="GANIS","GAN-"&amp;TEXT(COUNTIF($G$3:G581,G581),"000"),IF(G581="ENGINEERING","ENG-"&amp;TEXT(COUNTIF($G$3:G581,G581),"000"),IF(G581="PRODUKSI","PRO-"&amp;TEXT(COUNTIF($G$3:G581,G581),"000"),IF(G581="SURVEY","SUR-"&amp;TEXT(COUNTIF($G$3:G581,G581),"000"),"")))))))))))</f>
        <v>SUR-002</v>
      </c>
      <c r="I581" s="3"/>
      <c r="J581" s="3"/>
    </row>
    <row r="582" spans="2:10" ht="15.5">
      <c r="B582" s="13" t="s">
        <v>1157</v>
      </c>
      <c r="C582" s="10" t="s">
        <v>33</v>
      </c>
      <c r="D582" s="49">
        <v>50000</v>
      </c>
      <c r="E582" s="40" t="s">
        <v>14</v>
      </c>
      <c r="F582" s="34" t="s">
        <v>1085</v>
      </c>
      <c r="G582" s="2" t="s">
        <v>1058</v>
      </c>
      <c r="H582" s="2" t="str">
        <f>IF(G582="","",IF(G582="EKSPLORASI","EXP-"&amp;TEXT(COUNTIF($G$3:G582,G582),"000"),IF(G582="HSE","HSE-"&amp;TEXT(COUNTIF($G$3:G582,G582),"000"),IF(G582="QAQC","QAQC-"&amp;TEXT(COUNTIF($G$3:G582,G582),"000"),IF(G582="HCGA","HCGA-"&amp;TEXT(COUNTIF($G$3:G582,G582),"000"),IF(G582="MAINTENANCE","MNT-"&amp;TEXT(COUNTIF($G$3:G582,G582),"000"),IF(G582="CIVIL","CIV-"&amp;TEXT(COUNTIF($G$3:G582,G582),"000"),IF(G582="GANIS","GAN-"&amp;TEXT(COUNTIF($G$3:G582,G582),"000"),IF(G582="ENGINEERING","ENG-"&amp;TEXT(COUNTIF($G$3:G582,G582),"000"),IF(G582="PRODUKSI","PRO-"&amp;TEXT(COUNTIF($G$3:G582,G582),"000"),IF(G582="SURVEY","SUR-"&amp;TEXT(COUNTIF($G$3:G582,G582),"000"),"")))))))))))</f>
        <v>SUR-003</v>
      </c>
      <c r="I582" s="3"/>
      <c r="J582" s="3"/>
    </row>
    <row r="583" spans="2:10" ht="15.5">
      <c r="B583" s="4" t="s">
        <v>1158</v>
      </c>
      <c r="C583" s="27" t="s">
        <v>1062</v>
      </c>
      <c r="D583" s="46"/>
      <c r="E583" s="40" t="s">
        <v>14</v>
      </c>
      <c r="F583" s="32"/>
      <c r="G583" s="2" t="s">
        <v>1058</v>
      </c>
      <c r="H583" s="2" t="str">
        <f>IF(G583="","",IF(G583="EKSPLORASI","EXP-"&amp;TEXT(COUNTIF($G$3:G583,G583),"000"),IF(G583="HSE","HSE-"&amp;TEXT(COUNTIF($G$3:G583,G583),"000"),IF(G583="QAQC","QAQC-"&amp;TEXT(COUNTIF($G$3:G583,G583),"000"),IF(G583="HCGA","HCGA-"&amp;TEXT(COUNTIF($G$3:G583,G583),"000"),IF(G583="MAINTENANCE","MNT-"&amp;TEXT(COUNTIF($G$3:G583,G583),"000"),IF(G583="CIVIL","CIV-"&amp;TEXT(COUNTIF($G$3:G583,G583),"000"),IF(G583="GANIS","GAN-"&amp;TEXT(COUNTIF($G$3:G583,G583),"000"),IF(G583="ENGINEERING","ENG-"&amp;TEXT(COUNTIF($G$3:G583,G583),"000"),IF(G583="PRODUKSI","PRO-"&amp;TEXT(COUNTIF($G$3:G583,G583),"000"),IF(G583="SURVEY","SUR-"&amp;TEXT(COUNTIF($G$3:G583,G583),"000"),"")))))))))))</f>
        <v>SUR-004</v>
      </c>
      <c r="I583" s="3"/>
      <c r="J583" s="3"/>
    </row>
    <row r="584" spans="2:10" ht="17.5" customHeight="1">
      <c r="B584" s="4" t="s">
        <v>1184</v>
      </c>
      <c r="C584" s="50" t="s">
        <v>1165</v>
      </c>
      <c r="D584" s="51">
        <v>48000</v>
      </c>
      <c r="E584" s="52" t="s">
        <v>25</v>
      </c>
      <c r="F584" s="34" t="s">
        <v>1088</v>
      </c>
      <c r="G584" s="34" t="s">
        <v>10</v>
      </c>
      <c r="H584" s="2" t="str">
        <f>IF(G584="","",IF(G584="EKSPLORASI","EXP-"&amp;TEXT(COUNTIF($G$3:G584,G584),"000"),IF(G584="HSE","HSE-"&amp;TEXT(COUNTIF($G$3:G584,G584),"000"),IF(G584="QAQC","QAQC-"&amp;TEXT(COUNTIF($G$3:G584,G584),"000"),IF(G584="HCGA","HCGA-"&amp;TEXT(COUNTIF($G$3:G584,G584),"000"),IF(G584="MAINTENANCE","MNT-"&amp;TEXT(COUNTIF($G$3:G584,G584),"000"),IF(G584="CIVIL","CIV-"&amp;TEXT(COUNTIF($G$3:G584,G584),"000"),IF(G584="GANIS","GAN-"&amp;TEXT(COUNTIF($G$3:G584,G584),"000"),IF(G584="ENGINEERING","ENG-"&amp;TEXT(COUNTIF($G$3:G584,G584),"000"),IF(G584="PRODUKSI","PRO-"&amp;TEXT(COUNTIF($G$3:G584,G584),"000"),IF(G584="SURVEY","SUR-"&amp;TEXT(COUNTIF($G$3:G584,G584),"000"),"")))))))))))</f>
        <v>EXP-108</v>
      </c>
      <c r="I584" s="3"/>
      <c r="J584" s="3"/>
    </row>
    <row r="585" spans="2:10" ht="29.5" customHeight="1">
      <c r="B585" s="4" t="s">
        <v>1185</v>
      </c>
      <c r="C585" s="50" t="s">
        <v>1166</v>
      </c>
      <c r="D585" s="51">
        <v>350000</v>
      </c>
      <c r="E585" s="52" t="s">
        <v>63</v>
      </c>
      <c r="F585" s="38" t="s">
        <v>1088</v>
      </c>
      <c r="G585" s="53" t="s">
        <v>10</v>
      </c>
      <c r="H585" s="2" t="str">
        <f>IF(G585="","",IF(G585="EKSPLORASI","EXP-"&amp;TEXT(COUNTIF($G$3:G585,G585),"000"),IF(G585="HSE","HSE-"&amp;TEXT(COUNTIF($G$3:G585,G585),"000"),IF(G585="QAQC","QAQC-"&amp;TEXT(COUNTIF($G$3:G585,G585),"000"),IF(G585="HCGA","HCGA-"&amp;TEXT(COUNTIF($G$3:G585,G585),"000"),IF(G585="MAINTENANCE","MNT-"&amp;TEXT(COUNTIF($G$3:G585,G585),"000"),IF(G585="CIVIL","CIV-"&amp;TEXT(COUNTIF($G$3:G585,G585),"000"),IF(G585="GANIS","GAN-"&amp;TEXT(COUNTIF($G$3:G585,G585),"000"),IF(G585="ENGINEERING","ENG-"&amp;TEXT(COUNTIF($G$3:G585,G585),"000"),IF(G585="PRODUKSI","PRO-"&amp;TEXT(COUNTIF($G$3:G585,G585),"000"),IF(G585="SURVEY","SUR-"&amp;TEXT(COUNTIF($G$3:G585,G585),"000"),"")))))))))))</f>
        <v>EXP-109</v>
      </c>
      <c r="I585" s="3"/>
      <c r="J585" s="3"/>
    </row>
    <row r="586" spans="2:10" ht="15.5">
      <c r="B586" s="4" t="s">
        <v>1186</v>
      </c>
      <c r="C586" s="50" t="s">
        <v>1167</v>
      </c>
      <c r="D586" s="51">
        <v>45000</v>
      </c>
      <c r="E586" s="35" t="s">
        <v>14</v>
      </c>
      <c r="F586" s="34" t="s">
        <v>1088</v>
      </c>
      <c r="G586" s="34" t="s">
        <v>10</v>
      </c>
      <c r="H586" s="2" t="str">
        <f>IF(G586="","",IF(G586="EKSPLORASI","EXP-"&amp;TEXT(COUNTIF($G$3:G586,G586),"000"),IF(G586="HSE","HSE-"&amp;TEXT(COUNTIF($G$3:G586,G586),"000"),IF(G586="QAQC","QAQC-"&amp;TEXT(COUNTIF($G$3:G586,G586),"000"),IF(G586="HCGA","HCGA-"&amp;TEXT(COUNTIF($G$3:G586,G586),"000"),IF(G586="MAINTENANCE","MNT-"&amp;TEXT(COUNTIF($G$3:G586,G586),"000"),IF(G586="CIVIL","CIV-"&amp;TEXT(COUNTIF($G$3:G586,G586),"000"),IF(G586="GANIS","GAN-"&amp;TEXT(COUNTIF($G$3:G586,G586),"000"),IF(G586="ENGINEERING","ENG-"&amp;TEXT(COUNTIF($G$3:G586,G586),"000"),IF(G586="PRODUKSI","PRO-"&amp;TEXT(COUNTIF($G$3:G586,G586),"000"),IF(G586="SURVEY","SUR-"&amp;TEXT(COUNTIF($G$3:G586,G586),"000"),"")))))))))))</f>
        <v>EXP-110</v>
      </c>
      <c r="I586" s="35"/>
      <c r="J586" s="35"/>
    </row>
    <row r="587" spans="2:10" ht="31">
      <c r="B587" s="4" t="s">
        <v>1187</v>
      </c>
      <c r="C587" s="50" t="s">
        <v>1168</v>
      </c>
      <c r="D587" s="51">
        <v>1100000</v>
      </c>
      <c r="E587" s="53" t="s">
        <v>63</v>
      </c>
      <c r="F587" s="53" t="s">
        <v>1088</v>
      </c>
      <c r="G587" s="53" t="s">
        <v>10</v>
      </c>
      <c r="H587" s="2" t="str">
        <f>IF(G587="","",IF(G587="EKSPLORASI","EXP-"&amp;TEXT(COUNTIF($G$3:G587,G587),"000"),IF(G587="HSE","HSE-"&amp;TEXT(COUNTIF($G$3:G587,G587),"000"),IF(G587="QAQC","QAQC-"&amp;TEXT(COUNTIF($G$3:G587,G587),"000"),IF(G587="HCGA","HCGA-"&amp;TEXT(COUNTIF($G$3:G587,G587),"000"),IF(G587="MAINTENANCE","MNT-"&amp;TEXT(COUNTIF($G$3:G587,G587),"000"),IF(G587="CIVIL","CIV-"&amp;TEXT(COUNTIF($G$3:G587,G587),"000"),IF(G587="GANIS","GAN-"&amp;TEXT(COUNTIF($G$3:G587,G587),"000"),IF(G587="ENGINEERING","ENG-"&amp;TEXT(COUNTIF($G$3:G587,G587),"000"),IF(G587="PRODUKSI","PRO-"&amp;TEXT(COUNTIF($G$3:G587,G587),"000"),IF(G587="SURVEY","SUR-"&amp;TEXT(COUNTIF($G$3:G587,G587),"000"),"")))))))))))</f>
        <v>EXP-111</v>
      </c>
      <c r="I587" s="35"/>
      <c r="J587" s="35"/>
    </row>
    <row r="588" spans="2:10" ht="15.5">
      <c r="B588" s="4" t="s">
        <v>1188</v>
      </c>
      <c r="C588" s="50" t="s">
        <v>1169</v>
      </c>
      <c r="D588" s="51">
        <v>130000</v>
      </c>
      <c r="E588" s="40" t="s">
        <v>14</v>
      </c>
      <c r="F588" s="53" t="s">
        <v>1088</v>
      </c>
      <c r="G588" s="53" t="s">
        <v>10</v>
      </c>
      <c r="H588" s="2" t="str">
        <f>IF(G588="","",IF(G588="EKSPLORASI","EXP-"&amp;TEXT(COUNTIF($G$3:G588,G588),"000"),IF(G588="HSE","HSE-"&amp;TEXT(COUNTIF($G$3:G588,G588),"000"),IF(G588="QAQC","QAQC-"&amp;TEXT(COUNTIF($G$3:G588,G588),"000"),IF(G588="HCGA","HCGA-"&amp;TEXT(COUNTIF($G$3:G588,G588),"000"),IF(G588="MAINTENANCE","MNT-"&amp;TEXT(COUNTIF($G$3:G588,G588),"000"),IF(G588="CIVIL","CIV-"&amp;TEXT(COUNTIF($G$3:G588,G588),"000"),IF(G588="GANIS","GAN-"&amp;TEXT(COUNTIF($G$3:G588,G588),"000"),IF(G588="ENGINEERING","ENG-"&amp;TEXT(COUNTIF($G$3:G588,G588),"000"),IF(G588="PRODUKSI","PRO-"&amp;TEXT(COUNTIF($G$3:G588,G588),"000"),IF(G588="SURVEY","SUR-"&amp;TEXT(COUNTIF($G$3:G588,G588),"000"),"")))))))))))</f>
        <v>EXP-112</v>
      </c>
      <c r="I588" s="35"/>
      <c r="J588" s="35"/>
    </row>
    <row r="589" spans="2:10" ht="15.5">
      <c r="B589" s="4" t="s">
        <v>1189</v>
      </c>
      <c r="C589" s="50" t="s">
        <v>1170</v>
      </c>
      <c r="D589" s="51">
        <v>120000</v>
      </c>
      <c r="E589" s="40" t="s">
        <v>14</v>
      </c>
      <c r="F589" s="53" t="s">
        <v>1088</v>
      </c>
      <c r="G589" s="53" t="s">
        <v>10</v>
      </c>
      <c r="H589" s="2" t="str">
        <f>IF(G589="","",IF(G589="EKSPLORASI","EXP-"&amp;TEXT(COUNTIF($G$3:G589,G589),"000"),IF(G589="HSE","HSE-"&amp;TEXT(COUNTIF($G$3:G589,G589),"000"),IF(G589="QAQC","QAQC-"&amp;TEXT(COUNTIF($G$3:G589,G589),"000"),IF(G589="HCGA","HCGA-"&amp;TEXT(COUNTIF($G$3:G589,G589),"000"),IF(G589="MAINTENANCE","MNT-"&amp;TEXT(COUNTIF($G$3:G589,G589),"000"),IF(G589="CIVIL","CIV-"&amp;TEXT(COUNTIF($G$3:G589,G589),"000"),IF(G589="GANIS","GAN-"&amp;TEXT(COUNTIF($G$3:G589,G589),"000"),IF(G589="ENGINEERING","ENG-"&amp;TEXT(COUNTIF($G$3:G589,G589),"000"),IF(G589="PRODUKSI","PRO-"&amp;TEXT(COUNTIF($G$3:G589,G589),"000"),IF(G589="SURVEY","SUR-"&amp;TEXT(COUNTIF($G$3:G589,G589),"000"),"")))))))))))</f>
        <v>EXP-113</v>
      </c>
      <c r="I589" s="35"/>
      <c r="J589" s="35"/>
    </row>
    <row r="590" spans="2:10" ht="15.5">
      <c r="B590" s="4" t="s">
        <v>1190</v>
      </c>
      <c r="C590" s="50" t="s">
        <v>1171</v>
      </c>
      <c r="D590" s="51">
        <v>110000</v>
      </c>
      <c r="E590" s="40" t="s">
        <v>14</v>
      </c>
      <c r="F590" s="53" t="s">
        <v>1088</v>
      </c>
      <c r="G590" s="53" t="s">
        <v>10</v>
      </c>
      <c r="H590" s="2" t="str">
        <f>IF(G590="","",IF(G590="EKSPLORASI","EXP-"&amp;TEXT(COUNTIF($G$3:G590,G590),"000"),IF(G590="HSE","HSE-"&amp;TEXT(COUNTIF($G$3:G590,G590),"000"),IF(G590="QAQC","QAQC-"&amp;TEXT(COUNTIF($G$3:G590,G590),"000"),IF(G590="HCGA","HCGA-"&amp;TEXT(COUNTIF($G$3:G590,G590),"000"),IF(G590="MAINTENANCE","MNT-"&amp;TEXT(COUNTIF($G$3:G590,G590),"000"),IF(G590="CIVIL","CIV-"&amp;TEXT(COUNTIF($G$3:G590,G590),"000"),IF(G590="GANIS","GAN-"&amp;TEXT(COUNTIF($G$3:G590,G590),"000"),IF(G590="ENGINEERING","ENG-"&amp;TEXT(COUNTIF($G$3:G590,G590),"000"),IF(G590="PRODUKSI","PRO-"&amp;TEXT(COUNTIF($G$3:G590,G590),"000"),IF(G590="SURVEY","SUR-"&amp;TEXT(COUNTIF($G$3:G590,G590),"000"),"")))))))))))</f>
        <v>EXP-114</v>
      </c>
      <c r="I590" s="35"/>
      <c r="J590" s="35"/>
    </row>
    <row r="591" spans="2:10" ht="14.5" customHeight="1">
      <c r="B591" s="4" t="s">
        <v>1191</v>
      </c>
      <c r="C591" s="50" t="s">
        <v>1172</v>
      </c>
      <c r="D591" s="51">
        <v>100000</v>
      </c>
      <c r="E591" s="40" t="s">
        <v>14</v>
      </c>
      <c r="F591" s="53" t="s">
        <v>1088</v>
      </c>
      <c r="G591" s="53" t="s">
        <v>10</v>
      </c>
      <c r="H591" s="2" t="str">
        <f>IF(G591="","",IF(G591="EKSPLORASI","EXP-"&amp;TEXT(COUNTIF($G$3:G591,G591),"000"),IF(G591="HSE","HSE-"&amp;TEXT(COUNTIF($G$3:G591,G591),"000"),IF(G591="QAQC","QAQC-"&amp;TEXT(COUNTIF($G$3:G591,G591),"000"),IF(G591="HCGA","HCGA-"&amp;TEXT(COUNTIF($G$3:G591,G591),"000"),IF(G591="MAINTENANCE","MNT-"&amp;TEXT(COUNTIF($G$3:G591,G591),"000"),IF(G591="CIVIL","CIV-"&amp;TEXT(COUNTIF($G$3:G591,G591),"000"),IF(G591="GANIS","GAN-"&amp;TEXT(COUNTIF($G$3:G591,G591),"000"),IF(G591="ENGINEERING","ENG-"&amp;TEXT(COUNTIF($G$3:G591,G591),"000"),IF(G591="PRODUKSI","PRO-"&amp;TEXT(COUNTIF($G$3:G591,G591),"000"),IF(G591="SURVEY","SUR-"&amp;TEXT(COUNTIF($G$3:G591,G591),"000"),"")))))))))))</f>
        <v>EXP-115</v>
      </c>
      <c r="I591" s="35"/>
      <c r="J591" s="35"/>
    </row>
    <row r="592" spans="2:10" ht="14.5" customHeight="1">
      <c r="B592" s="4" t="s">
        <v>1192</v>
      </c>
      <c r="C592" s="50" t="s">
        <v>1173</v>
      </c>
      <c r="D592" s="51">
        <v>45000</v>
      </c>
      <c r="E592" s="52" t="s">
        <v>25</v>
      </c>
      <c r="F592" s="34" t="s">
        <v>1088</v>
      </c>
      <c r="G592" s="34" t="s">
        <v>10</v>
      </c>
      <c r="H592" s="2" t="str">
        <f>IF(G592="","",IF(G592="EKSPLORASI","EXP-"&amp;TEXT(COUNTIF($G$3:G592,G592),"000"),IF(G592="HSE","HSE-"&amp;TEXT(COUNTIF($G$3:G592,G592),"000"),IF(G592="QAQC","QAQC-"&amp;TEXT(COUNTIF($G$3:G592,G592),"000"),IF(G592="HCGA","HCGA-"&amp;TEXT(COUNTIF($G$3:G592,G592),"000"),IF(G592="MAINTENANCE","MNT-"&amp;TEXT(COUNTIF($G$3:G592,G592),"000"),IF(G592="CIVIL","CIV-"&amp;TEXT(COUNTIF($G$3:G592,G592),"000"),IF(G592="GANIS","GAN-"&amp;TEXT(COUNTIF($G$3:G592,G592),"000"),IF(G592="ENGINEERING","ENG-"&amp;TEXT(COUNTIF($G$3:G592,G592),"000"),IF(G592="PRODUKSI","PRO-"&amp;TEXT(COUNTIF($G$3:G592,G592),"000"),IF(G592="SURVEY","SUR-"&amp;TEXT(COUNTIF($G$3:G592,G592),"000"),"")))))))))))</f>
        <v>EXP-116</v>
      </c>
      <c r="I592" s="3"/>
      <c r="J592" s="3"/>
    </row>
    <row r="593" spans="2:10" ht="15.5">
      <c r="B593" s="4" t="s">
        <v>1193</v>
      </c>
      <c r="C593" s="50" t="s">
        <v>1174</v>
      </c>
      <c r="D593" s="51">
        <v>24000</v>
      </c>
      <c r="E593" s="52" t="s">
        <v>25</v>
      </c>
      <c r="F593" s="34" t="s">
        <v>1088</v>
      </c>
      <c r="G593" s="34" t="s">
        <v>10</v>
      </c>
      <c r="H593" s="2" t="str">
        <f>IF(G593="","",IF(G593="EKSPLORASI","EXP-"&amp;TEXT(COUNTIF($G$3:G593,G593),"000"),IF(G593="HSE","HSE-"&amp;TEXT(COUNTIF($G$3:G593,G593),"000"),IF(G593="QAQC","QAQC-"&amp;TEXT(COUNTIF($G$3:G593,G593),"000"),IF(G593="HCGA","HCGA-"&amp;TEXT(COUNTIF($G$3:G593,G593),"000"),IF(G593="MAINTENANCE","MNT-"&amp;TEXT(COUNTIF($G$3:G593,G593),"000"),IF(G593="CIVIL","CIV-"&amp;TEXT(COUNTIF($G$3:G593,G593),"000"),IF(G593="GANIS","GAN-"&amp;TEXT(COUNTIF($G$3:G593,G593),"000"),IF(G593="ENGINEERING","ENG-"&amp;TEXT(COUNTIF($G$3:G593,G593),"000"),IF(G593="PRODUKSI","PRO-"&amp;TEXT(COUNTIF($G$3:G593,G593),"000"),IF(G593="SURVEY","SUR-"&amp;TEXT(COUNTIF($G$3:G593,G593),"000"),"")))))))))))</f>
        <v>EXP-117</v>
      </c>
      <c r="I593" s="3"/>
      <c r="J593" s="3"/>
    </row>
    <row r="594" spans="2:10" ht="15.5">
      <c r="B594" s="4" t="s">
        <v>1194</v>
      </c>
      <c r="C594" s="50" t="s">
        <v>156</v>
      </c>
      <c r="D594" s="51">
        <v>1750000</v>
      </c>
      <c r="E594" s="33" t="s">
        <v>87</v>
      </c>
      <c r="F594" s="34" t="s">
        <v>1088</v>
      </c>
      <c r="G594" s="34" t="s">
        <v>10</v>
      </c>
      <c r="H594" s="2" t="str">
        <f>IF(G594="","",IF(G594="EKSPLORASI","EXP-"&amp;TEXT(COUNTIF($G$3:G594,G594),"000"),IF(G594="HSE","HSE-"&amp;TEXT(COUNTIF($G$3:G594,G594),"000"),IF(G594="QAQC","QAQC-"&amp;TEXT(COUNTIF($G$3:G594,G594),"000"),IF(G594="HCGA","HCGA-"&amp;TEXT(COUNTIF($G$3:G594,G594),"000"),IF(G594="MAINTENANCE","MNT-"&amp;TEXT(COUNTIF($G$3:G594,G594),"000"),IF(G594="CIVIL","CIV-"&amp;TEXT(COUNTIF($G$3:G594,G594),"000"),IF(G594="GANIS","GAN-"&amp;TEXT(COUNTIF($G$3:G594,G594),"000"),IF(G594="ENGINEERING","ENG-"&amp;TEXT(COUNTIF($G$3:G594,G594),"000"),IF(G594="PRODUKSI","PRO-"&amp;TEXT(COUNTIF($G$3:G594,G594),"000"),IF(G594="SURVEY","SUR-"&amp;TEXT(COUNTIF($G$3:G594,G594),"000"),"")))))))))))</f>
        <v>EXP-118</v>
      </c>
      <c r="I594" s="3"/>
      <c r="J594" s="3"/>
    </row>
    <row r="595" spans="2:10" ht="15.5">
      <c r="B595" s="4" t="s">
        <v>1195</v>
      </c>
      <c r="C595" s="50" t="s">
        <v>1175</v>
      </c>
      <c r="D595" s="51">
        <v>350000</v>
      </c>
      <c r="E595" s="33" t="s">
        <v>14</v>
      </c>
      <c r="F595" s="34" t="s">
        <v>1178</v>
      </c>
      <c r="G595" s="34" t="s">
        <v>10</v>
      </c>
      <c r="H595" s="2" t="str">
        <f>IF(G595="","",IF(G595="EKSPLORASI","EXP-"&amp;TEXT(COUNTIF($G$3:G595,G595),"000"),IF(G595="HSE","HSE-"&amp;TEXT(COUNTIF($G$3:G595,G595),"000"),IF(G595="QAQC","QAQC-"&amp;TEXT(COUNTIF($G$3:G595,G595),"000"),IF(G595="HCGA","HCGA-"&amp;TEXT(COUNTIF($G$3:G595,G595),"000"),IF(G595="MAINTENANCE","MNT-"&amp;TEXT(COUNTIF($G$3:G595,G595),"000"),IF(G595="CIVIL","CIV-"&amp;TEXT(COUNTIF($G$3:G595,G595),"000"),IF(G595="GANIS","GAN-"&amp;TEXT(COUNTIF($G$3:G595,G595),"000"),IF(G595="ENGINEERING","ENG-"&amp;TEXT(COUNTIF($G$3:G595,G595),"000"),IF(G595="PRODUKSI","PRO-"&amp;TEXT(COUNTIF($G$3:G595,G595),"000"),IF(G595="SURVEY","SUR-"&amp;TEXT(COUNTIF($G$3:G595,G595),"000"),"")))))))))))</f>
        <v>EXP-119</v>
      </c>
      <c r="I595" s="3"/>
      <c r="J595" s="3"/>
    </row>
    <row r="596" spans="2:10" ht="15.5">
      <c r="B596" s="4" t="s">
        <v>1196</v>
      </c>
      <c r="C596" s="50" t="s">
        <v>1176</v>
      </c>
      <c r="D596" s="51">
        <v>450000</v>
      </c>
      <c r="E596" s="33" t="s">
        <v>14</v>
      </c>
      <c r="F596" s="34" t="s">
        <v>1088</v>
      </c>
      <c r="G596" s="34" t="s">
        <v>10</v>
      </c>
      <c r="H596" s="2" t="str">
        <f>IF(G596="","",IF(G596="EKSPLORASI","EXP-"&amp;TEXT(COUNTIF($G$3:G596,G596),"000"),IF(G596="HSE","HSE-"&amp;TEXT(COUNTIF($G$3:G596,G596),"000"),IF(G596="QAQC","QAQC-"&amp;TEXT(COUNTIF($G$3:G596,G596),"000"),IF(G596="HCGA","HCGA-"&amp;TEXT(COUNTIF($G$3:G596,G596),"000"),IF(G596="MAINTENANCE","MNT-"&amp;TEXT(COUNTIF($G$3:G596,G596),"000"),IF(G596="CIVIL","CIV-"&amp;TEXT(COUNTIF($G$3:G596,G596),"000"),IF(G596="GANIS","GAN-"&amp;TEXT(COUNTIF($G$3:G596,G596),"000"),IF(G596="ENGINEERING","ENG-"&amp;TEXT(COUNTIF($G$3:G596,G596),"000"),IF(G596="PRODUKSI","PRO-"&amp;TEXT(COUNTIF($G$3:G596,G596),"000"),IF(G596="SURVEY","SUR-"&amp;TEXT(COUNTIF($G$3:G596,G596),"000"),"")))))))))))</f>
        <v>EXP-120</v>
      </c>
      <c r="I596" s="3"/>
      <c r="J596" s="3"/>
    </row>
    <row r="597" spans="2:10" ht="15.5">
      <c r="B597" s="4" t="s">
        <v>1197</v>
      </c>
      <c r="C597" s="50" t="s">
        <v>1177</v>
      </c>
      <c r="D597" s="51">
        <v>750000</v>
      </c>
      <c r="E597" s="33" t="s">
        <v>14</v>
      </c>
      <c r="F597" s="34" t="s">
        <v>1178</v>
      </c>
      <c r="G597" s="34" t="s">
        <v>10</v>
      </c>
      <c r="H597" s="2" t="str">
        <f>IF(G597="","",IF(G597="EKSPLORASI","EXP-"&amp;TEXT(COUNTIF($G$3:G597,G597),"000"),IF(G597="HSE","HSE-"&amp;TEXT(COUNTIF($G$3:G597,G597),"000"),IF(G597="QAQC","QAQC-"&amp;TEXT(COUNTIF($G$3:G597,G597),"000"),IF(G597="HCGA","HCGA-"&amp;TEXT(COUNTIF($G$3:G597,G597),"000"),IF(G597="MAINTENANCE","MNT-"&amp;TEXT(COUNTIF($G$3:G597,G597),"000"),IF(G597="CIVIL","CIV-"&amp;TEXT(COUNTIF($G$3:G597,G597),"000"),IF(G597="GANIS","GAN-"&amp;TEXT(COUNTIF($G$3:G597,G597),"000"),IF(G597="ENGINEERING","ENG-"&amp;TEXT(COUNTIF($G$3:G597,G597),"000"),IF(G597="PRODUKSI","PRO-"&amp;TEXT(COUNTIF($G$3:G597,G597),"000"),IF(G597="SURVEY","SUR-"&amp;TEXT(COUNTIF($G$3:G597,G597),"000"),"")))))))))))</f>
        <v>EXP-121</v>
      </c>
      <c r="I597" s="3"/>
      <c r="J597" s="3"/>
    </row>
    <row r="598" spans="2:10" ht="15.5">
      <c r="B598" s="4" t="s">
        <v>1198</v>
      </c>
      <c r="C598" s="50" t="s">
        <v>1179</v>
      </c>
      <c r="D598" s="51">
        <v>650000</v>
      </c>
      <c r="E598" s="33" t="s">
        <v>14</v>
      </c>
      <c r="F598" s="34" t="s">
        <v>1088</v>
      </c>
      <c r="G598" s="34" t="s">
        <v>10</v>
      </c>
      <c r="H598" s="2" t="str">
        <f>IF(G598="","",IF(G598="EKSPLORASI","EXP-"&amp;TEXT(COUNTIF($G$3:G598,G598),"000"),IF(G598="HSE","HSE-"&amp;TEXT(COUNTIF($G$3:G598,G598),"000"),IF(G598="QAQC","QAQC-"&amp;TEXT(COUNTIF($G$3:G598,G598),"000"),IF(G598="HCGA","HCGA-"&amp;TEXT(COUNTIF($G$3:G598,G598),"000"),IF(G598="MAINTENANCE","MNT-"&amp;TEXT(COUNTIF($G$3:G598,G598),"000"),IF(G598="CIVIL","CIV-"&amp;TEXT(COUNTIF($G$3:G598,G598),"000"),IF(G598="GANIS","GAN-"&amp;TEXT(COUNTIF($G$3:G598,G598),"000"),IF(G598="ENGINEERING","ENG-"&amp;TEXT(COUNTIF($G$3:G598,G598),"000"),IF(G598="PRODUKSI","PRO-"&amp;TEXT(COUNTIF($G$3:G598,G598),"000"),IF(G598="SURVEY","SUR-"&amp;TEXT(COUNTIF($G$3:G598,G598),"000"),"")))))))))))</f>
        <v>EXP-122</v>
      </c>
      <c r="I598" s="3"/>
      <c r="J598" s="3"/>
    </row>
    <row r="599" spans="2:10" ht="15.5">
      <c r="B599" s="4" t="s">
        <v>1199</v>
      </c>
      <c r="C599" s="50" t="s">
        <v>1180</v>
      </c>
      <c r="D599" s="51">
        <v>550000</v>
      </c>
      <c r="E599" s="33" t="s">
        <v>171</v>
      </c>
      <c r="F599" s="34" t="s">
        <v>1088</v>
      </c>
      <c r="G599" s="34" t="s">
        <v>10</v>
      </c>
      <c r="H599" s="2" t="str">
        <f>IF(G599="","",IF(G599="EKSPLORASI","EXP-"&amp;TEXT(COUNTIF($G$3:G599,G599),"000"),IF(G599="HSE","HSE-"&amp;TEXT(COUNTIF($G$3:G599,G599),"000"),IF(G599="QAQC","QAQC-"&amp;TEXT(COUNTIF($G$3:G599,G599),"000"),IF(G599="HCGA","HCGA-"&amp;TEXT(COUNTIF($G$3:G599,G599),"000"),IF(G599="MAINTENANCE","MNT-"&amp;TEXT(COUNTIF($G$3:G599,G599),"000"),IF(G599="CIVIL","CIV-"&amp;TEXT(COUNTIF($G$3:G599,G599),"000"),IF(G599="GANIS","GAN-"&amp;TEXT(COUNTIF($G$3:G599,G599),"000"),IF(G599="ENGINEERING","ENG-"&amp;TEXT(COUNTIF($G$3:G599,G599),"000"),IF(G599="PRODUKSI","PRO-"&amp;TEXT(COUNTIF($G$3:G599,G599),"000"),IF(G599="SURVEY","SUR-"&amp;TEXT(COUNTIF($G$3:G599,G599),"000"),"")))))))))))</f>
        <v>EXP-123</v>
      </c>
      <c r="I599" s="3"/>
      <c r="J599" s="3"/>
    </row>
    <row r="600" spans="2:10" ht="15.5">
      <c r="B600" s="4" t="s">
        <v>1200</v>
      </c>
      <c r="C600" s="50" t="s">
        <v>1182</v>
      </c>
      <c r="D600" s="3"/>
      <c r="E600" s="3"/>
      <c r="F600" s="3"/>
      <c r="G600" s="3"/>
      <c r="H600" s="3"/>
      <c r="I600" s="3"/>
      <c r="J600" s="3"/>
    </row>
    <row r="601" spans="2:10" ht="15.5">
      <c r="B601" s="4" t="s">
        <v>1201</v>
      </c>
      <c r="C601" s="50" t="s">
        <v>1183</v>
      </c>
      <c r="D601" s="3"/>
      <c r="E601" s="3"/>
      <c r="F601" s="3"/>
      <c r="G601" s="3"/>
      <c r="H601" s="3"/>
      <c r="I601" s="3"/>
      <c r="J601" s="3"/>
    </row>
  </sheetData>
  <autoFilter ref="B1:J596" xr:uid="{00000000-0009-0000-0000-000000000000}">
    <sortState xmlns:xlrd2="http://schemas.microsoft.com/office/spreadsheetml/2017/richdata2" ref="B17:J217">
      <sortCondition ref="C1:C583"/>
    </sortState>
  </autoFilter>
  <mergeCells count="9">
    <mergeCell ref="B1:B2"/>
    <mergeCell ref="J1:J2"/>
    <mergeCell ref="I1:I2"/>
    <mergeCell ref="H1:H2"/>
    <mergeCell ref="C1:C2"/>
    <mergeCell ref="D1:D2"/>
    <mergeCell ref="G1:G2"/>
    <mergeCell ref="F1:F2"/>
    <mergeCell ref="E1:E2"/>
  </mergeCells>
  <phoneticPr fontId="13" type="noConversion"/>
  <conditionalFormatting sqref="C182:C187 C189:C196">
    <cfRule type="duplicateValues" dxfId="77" priority="65"/>
    <cfRule type="duplicateValues" dxfId="76" priority="63"/>
    <cfRule type="duplicateValues" dxfId="75" priority="62"/>
    <cfRule type="duplicateValues" dxfId="74" priority="64"/>
    <cfRule type="duplicateValues" dxfId="73" priority="66"/>
    <cfRule type="duplicateValues" dxfId="72" priority="71"/>
    <cfRule type="duplicateValues" dxfId="71" priority="72"/>
    <cfRule type="duplicateValues" dxfId="70" priority="70"/>
    <cfRule type="duplicateValues" dxfId="69" priority="69"/>
    <cfRule type="duplicateValues" dxfId="68" priority="61"/>
    <cfRule type="duplicateValues" dxfId="67" priority="68"/>
    <cfRule type="expression" dxfId="66" priority="67">
      <formula>AND(#REF!&lt;&gt;"",OR(ISNUMBER(SEARCH(#REF!,$A182:$B182))))</formula>
    </cfRule>
  </conditionalFormatting>
  <conditionalFormatting sqref="C188">
    <cfRule type="duplicateValues" dxfId="65" priority="58"/>
    <cfRule type="duplicateValues" dxfId="64" priority="53"/>
    <cfRule type="duplicateValues" dxfId="63" priority="60"/>
    <cfRule type="duplicateValues" dxfId="62" priority="59"/>
    <cfRule type="duplicateValues" dxfId="61" priority="57"/>
    <cfRule type="duplicateValues" dxfId="60" priority="56"/>
    <cfRule type="duplicateValues" dxfId="59" priority="52"/>
    <cfRule type="expression" dxfId="58" priority="55">
      <formula>AND(#REF!&lt;&gt;"",OR(ISNUMBER(SEARCH(#REF!,$A188:$B188))))</formula>
    </cfRule>
    <cfRule type="duplicateValues" dxfId="57" priority="54"/>
    <cfRule type="duplicateValues" dxfId="56" priority="49"/>
    <cfRule type="duplicateValues" dxfId="55" priority="50"/>
    <cfRule type="duplicateValues" dxfId="54" priority="51"/>
  </conditionalFormatting>
  <conditionalFormatting sqref="C201:C235">
    <cfRule type="expression" dxfId="53" priority="43">
      <formula>AND(#REF!&lt;&gt;"",OR(ISNUMBER(SEARCH(#REF!,$A201:$B201))))</formula>
    </cfRule>
    <cfRule type="duplicateValues" dxfId="52" priority="41"/>
    <cfRule type="duplicateValues" dxfId="51" priority="42"/>
    <cfRule type="duplicateValues" dxfId="50" priority="37"/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45" priority="38"/>
    <cfRule type="duplicateValues" dxfId="44" priority="39"/>
    <cfRule type="duplicateValues" dxfId="43" priority="40"/>
    <cfRule type="duplicateValues" dxfId="42" priority="48"/>
  </conditionalFormatting>
  <conditionalFormatting sqref="C246">
    <cfRule type="duplicateValues" dxfId="41" priority="25"/>
    <cfRule type="duplicateValues" dxfId="40" priority="26"/>
    <cfRule type="duplicateValues" dxfId="39" priority="27"/>
    <cfRule type="duplicateValues" dxfId="38" priority="36"/>
    <cfRule type="duplicateValues" dxfId="37" priority="35"/>
    <cfRule type="duplicateValues" dxfId="36" priority="34"/>
    <cfRule type="expression" dxfId="35" priority="31">
      <formula>AND(#REF!&lt;&gt;"",OR(ISNUMBER(SEARCH(#REF!,$A246:$B246))))</formula>
    </cfRule>
    <cfRule type="duplicateValues" dxfId="34" priority="33"/>
    <cfRule type="duplicateValues" dxfId="33" priority="32"/>
    <cfRule type="duplicateValues" dxfId="32" priority="30"/>
    <cfRule type="duplicateValues" dxfId="31" priority="29"/>
    <cfRule type="duplicateValues" dxfId="30" priority="28"/>
  </conditionalFormatting>
  <conditionalFormatting sqref="C390:C394">
    <cfRule type="duplicateValues" dxfId="29" priority="83"/>
    <cfRule type="duplicateValues" dxfId="28" priority="81"/>
    <cfRule type="duplicateValues" dxfId="27" priority="82"/>
    <cfRule type="duplicateValues" dxfId="26" priority="84"/>
    <cfRule type="duplicateValues" dxfId="25" priority="85"/>
    <cfRule type="duplicateValues" dxfId="24" priority="86"/>
    <cfRule type="expression" dxfId="23" priority="87">
      <formula>AND(#REF!&lt;&gt;"",OR(ISNUMBER(SEARCH(#REF!,$A390:$B390))))</formula>
    </cfRule>
    <cfRule type="duplicateValues" dxfId="22" priority="88"/>
    <cfRule type="duplicateValues" dxfId="21" priority="89"/>
    <cfRule type="duplicateValues" dxfId="20" priority="90"/>
    <cfRule type="duplicateValues" dxfId="19" priority="91"/>
    <cfRule type="duplicateValues" dxfId="18" priority="92"/>
  </conditionalFormatting>
  <conditionalFormatting sqref="C491:C500">
    <cfRule type="duplicateValues" dxfId="17" priority="3"/>
    <cfRule type="duplicateValues" dxfId="16" priority="2"/>
    <cfRule type="duplicateValues" dxfId="15" priority="1"/>
    <cfRule type="duplicateValues" dxfId="14" priority="10"/>
    <cfRule type="duplicateValues" dxfId="13" priority="12"/>
    <cfRule type="duplicateValues" dxfId="12" priority="11"/>
    <cfRule type="duplicateValues" dxfId="11" priority="9"/>
    <cfRule type="duplicateValues" dxfId="10" priority="8"/>
    <cfRule type="expression" dxfId="9" priority="7">
      <formula>AND(#REF!&lt;&gt;"",OR(ISNUMBER(SEARCH(#REF!,$A491:$B491))))</formula>
    </cfRule>
    <cfRule type="duplicateValues" dxfId="8" priority="6"/>
    <cfRule type="duplicateValues" dxfId="7" priority="5"/>
    <cfRule type="duplicateValues" dxfId="6" priority="4"/>
  </conditionalFormatting>
  <conditionalFormatting sqref="I13:I37 I40 I49:I54 I56:I69 I71:I76 I78:I89 I94 I99:I103 I107:I110 I112:I123 I125:I149">
    <cfRule type="containsText" dxfId="5" priority="78" operator="containsText" text="STOCK">
      <formula>NOT(ISERROR(SEARCH("STOCK",I13)))</formula>
    </cfRule>
  </conditionalFormatting>
  <conditionalFormatting sqref="I107:I109">
    <cfRule type="containsText" dxfId="4" priority="73" operator="containsText" text="BULANAN">
      <formula>NOT(ISERROR(SEARCH("BULANAN",I107)))</formula>
    </cfRule>
    <cfRule type="containsText" dxfId="3" priority="74" operator="containsText" text="KONDISIONAL">
      <formula>NOT(ISERROR(SEARCH("KONDISIONAL",I107)))</formula>
    </cfRule>
  </conditionalFormatting>
  <conditionalFormatting sqref="I107:I110 I13:I37 I40 I49:I54 I56:I69 I71:I76 I78:I89 I94 I99:I103 I112:I123 I125:I149">
    <cfRule type="containsText" dxfId="2" priority="77" operator="containsText" text="RE-STOCK">
      <formula>NOT(ISERROR(SEARCH("RE-STOCK",I13)))</formula>
    </cfRule>
  </conditionalFormatting>
  <conditionalFormatting sqref="I13:J37 I40:J40 I49:J54 I56:J69 I71:J76 I78:J89 I94:J94 I99:J103 I110:J110 I112:J123 I125:J149 J3:J12 J38:J39 J41:J48 J55 J70 J77 J90:J93 J95:J98 J104:J109 J111 J124 J150:J164">
    <cfRule type="containsText" dxfId="1" priority="79" operator="containsText" text="BULANAN">
      <formula>NOT(ISERROR(SEARCH("BULANAN",I3)))</formula>
    </cfRule>
  </conditionalFormatting>
  <conditionalFormatting sqref="J3:J12 I13:J37 J38:J39 I40:J40 J41:J48 I49:J54 J55 I56:J69 J70 I71:J73 I74:I76 J74:J93 I78:I89 I94:J94 J95:J98 I99:J103 J104:J109 I110:J110 J111 I112:J123 J124 I125:J149 J150:J164">
    <cfRule type="containsText" dxfId="0" priority="80" operator="containsText" text="KONDISIONAL">
      <formula>NOT(ISERROR(SEARCH("KONDISIONAL",I3)))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11" sqref="A11"/>
    </sheetView>
  </sheetViews>
  <sheetFormatPr defaultRowHeight="14.5"/>
  <cols>
    <col min="1" max="1" width="20" customWidth="1"/>
    <col min="2" max="2" width="12" customWidth="1"/>
    <col min="3" max="3" width="24" customWidth="1"/>
  </cols>
  <sheetData>
    <row r="1" spans="1:3">
      <c r="A1" t="s">
        <v>3</v>
      </c>
      <c r="B1" t="s">
        <v>1063</v>
      </c>
      <c r="C1" t="s">
        <v>1064</v>
      </c>
    </row>
    <row r="2" spans="1:3">
      <c r="A2" t="s">
        <v>10</v>
      </c>
      <c r="B2" t="s">
        <v>1065</v>
      </c>
      <c r="C2" t="s">
        <v>1066</v>
      </c>
    </row>
    <row r="3" spans="1:3">
      <c r="A3" t="s">
        <v>723</v>
      </c>
      <c r="B3" t="s">
        <v>723</v>
      </c>
      <c r="C3" t="s">
        <v>1067</v>
      </c>
    </row>
    <row r="4" spans="1:3">
      <c r="A4" t="s">
        <v>232</v>
      </c>
      <c r="B4" t="s">
        <v>232</v>
      </c>
      <c r="C4" t="s">
        <v>1068</v>
      </c>
    </row>
    <row r="5" spans="1:3">
      <c r="A5" t="s">
        <v>587</v>
      </c>
      <c r="B5" t="s">
        <v>587</v>
      </c>
      <c r="C5" t="s">
        <v>1069</v>
      </c>
    </row>
    <row r="6" spans="1:3">
      <c r="A6" t="s">
        <v>919</v>
      </c>
      <c r="B6" t="s">
        <v>1070</v>
      </c>
      <c r="C6" t="s">
        <v>1071</v>
      </c>
    </row>
    <row r="7" spans="1:3">
      <c r="A7" t="s">
        <v>402</v>
      </c>
      <c r="B7" t="s">
        <v>1072</v>
      </c>
      <c r="C7" t="s">
        <v>1073</v>
      </c>
    </row>
    <row r="8" spans="1:3">
      <c r="A8" t="s">
        <v>531</v>
      </c>
      <c r="B8" t="s">
        <v>1074</v>
      </c>
      <c r="C8" t="s">
        <v>1075</v>
      </c>
    </row>
    <row r="9" spans="1:3">
      <c r="A9" t="s">
        <v>492</v>
      </c>
      <c r="B9" t="s">
        <v>1076</v>
      </c>
      <c r="C9" t="s">
        <v>1077</v>
      </c>
    </row>
    <row r="10" spans="1:3">
      <c r="A10" t="s">
        <v>1048</v>
      </c>
      <c r="B10" t="s">
        <v>1078</v>
      </c>
      <c r="C10" t="s">
        <v>1079</v>
      </c>
    </row>
    <row r="11" spans="1:3">
      <c r="A11" t="s">
        <v>1058</v>
      </c>
      <c r="B11" t="s">
        <v>1080</v>
      </c>
      <c r="C11" t="s">
        <v>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LOGISTIK  (2)</vt:lpstr>
      <vt:lpstr>KODE DEPARTEMEN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logistic</cp:lastModifiedBy>
  <dcterms:created xsi:type="dcterms:W3CDTF">2020-08-27T16:02:17Z</dcterms:created>
  <dcterms:modified xsi:type="dcterms:W3CDTF">2026-09-15T02:55:56Z</dcterms:modified>
</cp:coreProperties>
</file>